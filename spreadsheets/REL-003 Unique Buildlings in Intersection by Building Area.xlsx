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stics_by_category" sheetId="1" r:id="rId4"/>
    <sheet state="visible" name="Pivot Table 1" sheetId="2" r:id="rId5"/>
    <sheet state="visible" name="Sheet1" sheetId="3" r:id="rId6"/>
  </sheets>
  <definedNames>
    <definedName hidden="1" localSheetId="0" name="Z_1E74F2CC_6CE4_43BA_9097_6264B7E18049_.wvu.FilterData">statistics_by_category!$A$1:$AA$30</definedName>
  </definedNames>
  <calcPr/>
  <customWorkbookViews>
    <customWorkbookView activeSheetId="0" maximized="1" windowHeight="0" windowWidth="0" guid="{1E74F2CC-6CE4-43BA-9097-6264B7E18049}" name="Table1 filter view"/>
  </customWorkbookViews>
  <pivotCaches>
    <pivotCache cacheId="0" r:id="rId7"/>
  </pivotCaches>
  <extLst>
    <ext uri="GoogleSheetsCustomDataVersion2">
      <go:sheetsCustomData xmlns:go="http://customooxmlschemas.google.com/" r:id="rId8" roundtripDataChecksum="vpOlxsf2RMEuh4mXSSq151zxYTuA7eJAXyHSWztZe+Y="/>
    </ext>
  </extLst>
</workbook>
</file>

<file path=xl/sharedStrings.xml><?xml version="1.0" encoding="utf-8"?>
<sst xmlns="http://schemas.openxmlformats.org/spreadsheetml/2006/main" count="132" uniqueCount="49">
  <si>
    <t>The age of building stock associated with current projects varies substantially by project type. Developer Residential projects overwhelmingly intersect recent buildings, with approximately 94% dating from 2010 onward. In contrast, sanitary/storm infrastructure projects are concentrated around older building stock, particularly buildings constructed between 1970 and 1989. This suggests that Hillsboro's current project portfolio includes both newer development areas and infrastructure investment within established portions of the city.</t>
  </si>
  <si>
    <t>PROJECT_TYPE</t>
  </si>
  <si>
    <t>PROJECT_TYPE_LABEL</t>
  </si>
  <si>
    <t>Building Era Code</t>
  </si>
  <si>
    <t>BUILDING_ERA</t>
  </si>
  <si>
    <t>count</t>
  </si>
  <si>
    <t>unique</t>
  </si>
  <si>
    <t>min</t>
  </si>
  <si>
    <t>max</t>
  </si>
  <si>
    <t>range</t>
  </si>
  <si>
    <t>sum</t>
  </si>
  <si>
    <t>mean</t>
  </si>
  <si>
    <t>median</t>
  </si>
  <si>
    <t>stddev</t>
  </si>
  <si>
    <t>minority</t>
  </si>
  <si>
    <t>majority</t>
  </si>
  <si>
    <t>q1</t>
  </si>
  <si>
    <t>q3</t>
  </si>
  <si>
    <t>iqr</t>
  </si>
  <si>
    <t>Column 19</t>
  </si>
  <si>
    <t>Column 20</t>
  </si>
  <si>
    <t>Column 21</t>
  </si>
  <si>
    <t>Column 22</t>
  </si>
  <si>
    <t>Column 23</t>
  </si>
  <si>
    <t>Column 24</t>
  </si>
  <si>
    <t>Column 25</t>
  </si>
  <si>
    <t>Column 26</t>
  </si>
  <si>
    <t>Column 27</t>
  </si>
  <si>
    <t>DEVIND</t>
  </si>
  <si>
    <t>Developer Industrial Project</t>
  </si>
  <si>
    <t>Unknown</t>
  </si>
  <si>
    <t>DEVCO</t>
  </si>
  <si>
    <t>Developer Commercial Project</t>
  </si>
  <si>
    <t>DEVRE</t>
  </si>
  <si>
    <t>Developer Residential Project</t>
  </si>
  <si>
    <t>JOTH</t>
  </si>
  <si>
    <t>Other Jurisdiction</t>
  </si>
  <si>
    <t>CIP</t>
  </si>
  <si>
    <t>CIP Division Project</t>
  </si>
  <si>
    <t>CIPSS</t>
  </si>
  <si>
    <t>CIP Sanitary Storm Division Project</t>
  </si>
  <si>
    <t>SUM of unique</t>
  </si>
  <si>
    <t>CIPF</t>
  </si>
  <si>
    <t>CIP Facilities Project</t>
  </si>
  <si>
    <t>Pre-1950</t>
  </si>
  <si>
    <t>1950-1969</t>
  </si>
  <si>
    <t>1970-1989</t>
  </si>
  <si>
    <t>1990-2009</t>
  </si>
  <si>
    <t>2010-Present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</si>
</sst>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FFFFFF"/>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statistics_by_catego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 Type Distribution by Building Era</a:t>
            </a:r>
          </a:p>
        </c:rich>
      </c:tx>
      <c:overlay val="0"/>
    </c:title>
    <c:plotArea>
      <c:layout/>
      <c:barChart>
        <c:barDir val="col"/>
        <c:grouping val="percentStacked"/>
        <c:ser>
          <c:idx val="0"/>
          <c:order val="0"/>
          <c:tx>
            <c:strRef>
              <c:f>'Pivot Table 1'!$A$4</c:f>
            </c:strRef>
          </c:tx>
          <c:spPr>
            <a:solidFill>
              <a:schemeClr val="accent1"/>
            </a:solidFill>
            <a:ln cmpd="sng">
              <a:noFill/>
            </a:ln>
          </c:spPr>
          <c:invertIfNegative val="0"/>
          <c:cat>
            <c:strRef>
              <c:f>'Pivot Table 1'!$B$3:$G$3</c:f>
            </c:strRef>
          </c:cat>
          <c:val>
            <c:numRef>
              <c:f>'Pivot Table 1'!$B$4:$G$4</c:f>
              <c:numCache/>
            </c:numRef>
          </c:val>
        </c:ser>
        <c:ser>
          <c:idx val="1"/>
          <c:order val="1"/>
          <c:tx>
            <c:strRef>
              <c:f>'Pivot Table 1'!$A$5</c:f>
            </c:strRef>
          </c:tx>
          <c:spPr>
            <a:solidFill>
              <a:schemeClr val="accent2"/>
            </a:solidFill>
            <a:ln cmpd="sng">
              <a:noFill/>
            </a:ln>
          </c:spPr>
          <c:invertIfNegative val="0"/>
          <c:cat>
            <c:strRef>
              <c:f>'Pivot Table 1'!$B$3:$G$3</c:f>
            </c:strRef>
          </c:cat>
          <c:val>
            <c:numRef>
              <c:f>'Pivot Table 1'!$B$5:$G$5</c:f>
              <c:numCache/>
            </c:numRef>
          </c:val>
        </c:ser>
        <c:ser>
          <c:idx val="2"/>
          <c:order val="2"/>
          <c:tx>
            <c:strRef>
              <c:f>'Pivot Table 1'!$A$6</c:f>
            </c:strRef>
          </c:tx>
          <c:spPr>
            <a:solidFill>
              <a:schemeClr val="accent3"/>
            </a:solidFill>
            <a:ln cmpd="sng">
              <a:noFill/>
            </a:ln>
          </c:spPr>
          <c:invertIfNegative val="0"/>
          <c:cat>
            <c:strRef>
              <c:f>'Pivot Table 1'!$B$3:$G$3</c:f>
            </c:strRef>
          </c:cat>
          <c:val>
            <c:numRef>
              <c:f>'Pivot Table 1'!$B$6:$G$6</c:f>
              <c:numCache/>
            </c:numRef>
          </c:val>
        </c:ser>
        <c:ser>
          <c:idx val="3"/>
          <c:order val="3"/>
          <c:tx>
            <c:strRef>
              <c:f>'Pivot Table 1'!$A$7</c:f>
            </c:strRef>
          </c:tx>
          <c:spPr>
            <a:solidFill>
              <a:schemeClr val="accent4"/>
            </a:solidFill>
            <a:ln cmpd="sng">
              <a:noFill/>
            </a:ln>
          </c:spPr>
          <c:invertIfNegative val="0"/>
          <c:cat>
            <c:strRef>
              <c:f>'Pivot Table 1'!$B$3:$G$3</c:f>
            </c:strRef>
          </c:cat>
          <c:val>
            <c:numRef>
              <c:f>'Pivot Table 1'!$B$7:$G$7</c:f>
              <c:numCache/>
            </c:numRef>
          </c:val>
        </c:ser>
        <c:ser>
          <c:idx val="4"/>
          <c:order val="4"/>
          <c:tx>
            <c:strRef>
              <c:f>'Pivot Table 1'!$A$8</c:f>
            </c:strRef>
          </c:tx>
          <c:spPr>
            <a:solidFill>
              <a:schemeClr val="accent5"/>
            </a:solidFill>
            <a:ln cmpd="sng">
              <a:noFill/>
            </a:ln>
          </c:spPr>
          <c:invertIfNegative val="0"/>
          <c:cat>
            <c:strRef>
              <c:f>'Pivot Table 1'!$B$3:$G$3</c:f>
            </c:strRef>
          </c:cat>
          <c:val>
            <c:numRef>
              <c:f>'Pivot Table 1'!$B$8:$G$8</c:f>
              <c:numCache/>
            </c:numRef>
          </c:val>
        </c:ser>
        <c:ser>
          <c:idx val="5"/>
          <c:order val="5"/>
          <c:tx>
            <c:strRef>
              <c:f>'Pivot Table 1'!$A$9</c:f>
            </c:strRef>
          </c:tx>
          <c:spPr>
            <a:solidFill>
              <a:schemeClr val="accent6"/>
            </a:solidFill>
            <a:ln cmpd="sng">
              <a:noFill/>
            </a:ln>
          </c:spPr>
          <c:invertIfNegative val="0"/>
          <c:cat>
            <c:strRef>
              <c:f>'Pivot Table 1'!$B$3:$G$3</c:f>
            </c:strRef>
          </c:cat>
          <c:val>
            <c:numRef>
              <c:f>'Pivot Table 1'!$B$9:$G$9</c:f>
              <c:numCache/>
            </c:numRef>
          </c:val>
        </c:ser>
        <c:ser>
          <c:idx val="6"/>
          <c:order val="6"/>
          <c:tx>
            <c:strRef>
              <c:f>'Pivot Table 1'!$A$10</c:f>
            </c:strRef>
          </c:tx>
          <c:spPr>
            <a:solidFill>
              <a:schemeClr val="accent1">
                <a:lumOff val="30000"/>
              </a:schemeClr>
            </a:solidFill>
            <a:ln cmpd="sng">
              <a:noFill/>
            </a:ln>
          </c:spPr>
          <c:invertIfNegative val="0"/>
          <c:cat>
            <c:strRef>
              <c:f>'Pivot Table 1'!$B$3:$G$3</c:f>
            </c:strRef>
          </c:cat>
          <c:val>
            <c:numRef>
              <c:f>'Pivot Table 1'!$B$10:$G$10</c:f>
              <c:numCache/>
            </c:numRef>
          </c:val>
        </c:ser>
        <c:overlap val="100"/>
        <c:axId val="113959924"/>
        <c:axId val="2062612588"/>
      </c:barChart>
      <c:catAx>
        <c:axId val="1139599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Building Era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2612588"/>
      </c:catAx>
      <c:valAx>
        <c:axId val="2062612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95992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180975</xdr:rowOff>
    </xdr:from>
    <xdr:ext cx="9620250" cy="5791200"/>
    <xdr:graphicFrame>
      <xdr:nvGraphicFramePr>
        <xdr:cNvPr id="158134557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00" sheet="statistics_by_category"/>
  </cacheSource>
  <cacheFields>
    <cacheField name="PROJECT_TYPE" numFmtId="0">
      <sharedItems containsBlank="1">
        <s v="DEVIND"/>
        <s v="DEVCO"/>
        <s v="DEVRE"/>
        <s v="JOTH"/>
        <s v="CIP"/>
        <s v="CIPSS"/>
        <s v="CIPF"/>
        <m/>
      </sharedItems>
    </cacheField>
    <cacheField name="PROJECT_TYPE_LABEL" numFmtId="0">
      <sharedItems containsBlank="1">
        <s v="Developer Industrial Project"/>
        <s v="Developer Commercial Project"/>
        <s v="Developer Residential Project"/>
        <s v="Other Jurisdiction"/>
        <s v="CIP Division Project"/>
        <s v="CIP Sanitary Storm Division Project"/>
        <s v="CIP Facilities Project"/>
        <m/>
      </sharedItems>
    </cacheField>
    <cacheField name="Building Era Code" numFmtId="0">
      <sharedItems containsString="0" containsBlank="1" containsNumber="1" containsInteger="1">
        <n v="0.0"/>
        <n v="1.0"/>
        <n v="2.0"/>
        <n v="3.0"/>
        <n v="4.0"/>
        <n v="5.0"/>
        <m/>
      </sharedItems>
    </cacheField>
    <cacheField name="BUILDING_ERA" numFmtId="0">
      <sharedItems containsBlank="1">
        <s v="Unknown"/>
        <s v="Pre-1950"/>
        <s v="1950-1969"/>
        <s v="1970-1989"/>
        <s v="1990-2009"/>
        <s v="2010-Present"/>
        <m/>
      </sharedItems>
    </cacheField>
    <cacheField name="count" numFmtId="0">
      <sharedItems containsString="0" containsBlank="1" containsNumber="1" containsInteger="1">
        <n v="11.0"/>
        <n v="18.0"/>
        <n v="10.0"/>
        <n v="8.0"/>
        <n v="2.0"/>
        <n v="13.0"/>
        <n v="4.0"/>
        <n v="12.0"/>
        <n v="3.0"/>
        <n v="20.0"/>
        <n v="34.0"/>
        <n v="1.0"/>
        <n v="5.0"/>
        <n v="7.0"/>
        <n v="841.0"/>
        <m/>
      </sharedItems>
    </cacheField>
    <cacheField name="unique" numFmtId="0">
      <sharedItems containsString="0" containsBlank="1" containsNumber="1" containsInteger="1">
        <n v="11.0"/>
        <n v="17.0"/>
        <n v="10.0"/>
        <n v="8.0"/>
        <n v="2.0"/>
        <n v="13.0"/>
        <n v="4.0"/>
        <n v="12.0"/>
        <n v="3.0"/>
        <n v="20.0"/>
        <n v="34.0"/>
        <n v="1.0"/>
        <n v="5.0"/>
        <n v="7.0"/>
        <n v="817.0"/>
        <m/>
      </sharedItems>
    </cacheField>
    <cacheField name="min" numFmtId="0">
      <sharedItems containsString="0" containsBlank="1" containsNumber="1" containsInteger="1">
        <n v="77135.0"/>
        <n v="63822.0"/>
        <n v="73202.0"/>
        <n v="71485.0"/>
        <n v="73992.0"/>
        <n v="66193.0"/>
        <n v="64882.0"/>
        <n v="63956.0"/>
        <n v="63960.0"/>
        <n v="103084.0"/>
        <n v="58359.0"/>
        <n v="71931.0"/>
        <n v="102839.0"/>
        <n v="68090.0"/>
        <n v="55987.0"/>
        <n v="60431.0"/>
        <n v="62095.0"/>
        <n v="69130.0"/>
        <n v="58367.0"/>
        <n v="72038.0"/>
        <n v="57238.0"/>
        <n v="79818.0"/>
        <n v="85333.0"/>
        <n v="98912.0"/>
        <n v="98457.0"/>
        <n v="101899.0"/>
        <n v="98392.0"/>
        <n v="103332.0"/>
        <n v="101384.0"/>
        <m/>
      </sharedItems>
    </cacheField>
    <cacheField name="max" numFmtId="0">
      <sharedItems containsString="0" containsBlank="1" containsNumber="1" containsInteger="1">
        <n v="103090.0"/>
        <n v="103293.0"/>
        <n v="103411.0"/>
        <n v="102192.0"/>
        <n v="80408.0"/>
        <n v="95451.0"/>
        <n v="102953.0"/>
        <n v="103415.0"/>
        <n v="71029.0"/>
        <n v="103093.0"/>
        <n v="103413.0"/>
        <n v="86838.0"/>
        <n v="102848.0"/>
        <n v="79457.0"/>
        <n v="98471.0"/>
        <n v="101942.0"/>
        <n v="71629.0"/>
        <n v="69130.0"/>
        <n v="58367.0"/>
        <n v="72038.0"/>
        <n v="89283.0"/>
        <n v="79818.0"/>
        <n v="88109.0"/>
        <n v="103198.0"/>
        <n v="103811.0"/>
        <n v="102665.0"/>
        <n v="103036.0"/>
        <n v="103332.0"/>
        <n v="101384.0"/>
        <m/>
      </sharedItems>
    </cacheField>
    <cacheField name="range" numFmtId="0">
      <sharedItems containsString="0" containsBlank="1" containsNumber="1" containsInteger="1">
        <n v="25955.0"/>
        <n v="39471.0"/>
        <n v="30209.0"/>
        <n v="30707.0"/>
        <n v="6416.0"/>
        <n v="29258.0"/>
        <n v="38071.0"/>
        <n v="39459.0"/>
        <n v="7069.0"/>
        <n v="9.0"/>
        <n v="45054.0"/>
        <n v="14907.0"/>
        <n v="11367.0"/>
        <n v="42484.0"/>
        <n v="41511.0"/>
        <n v="9534.0"/>
        <n v="0.0"/>
        <n v="32045.0"/>
        <n v="2776.0"/>
        <n v="4286.0"/>
        <n v="5354.0"/>
        <n v="766.0"/>
        <n v="4644.0"/>
        <m/>
      </sharedItems>
    </cacheField>
    <cacheField name="sum" numFmtId="0">
      <sharedItems containsString="0" containsBlank="1" containsNumber="1" containsInteger="1">
        <n v="1077165.0"/>
        <n v="1555921.0"/>
        <n v="997329.0"/>
        <n v="680219.0"/>
        <n v="154400.0"/>
        <n v="1047070.0"/>
        <n v="329301.0"/>
        <n v="996485.0"/>
        <n v="204807.0"/>
        <n v="412350.0"/>
        <n v="1565585.0"/>
        <n v="945458.0"/>
        <n v="308529.0"/>
        <n v="220197.0"/>
        <n v="2249199.0"/>
        <n v="236386.0"/>
        <n v="133724.0"/>
        <n v="69130.0"/>
        <n v="116734.0"/>
        <n v="72038.0"/>
        <n v="366403.0"/>
        <n v="79818.0"/>
        <n v="173442.0"/>
        <n v="714578.0"/>
        <n v="8.6361351E7"/>
        <n v="1230473.0"/>
        <n v="2038704.0"/>
        <n v="103332.0"/>
        <n v="101384.0"/>
        <m/>
      </sharedItems>
    </cacheField>
    <cacheField name="mean" numFmtId="0">
      <sharedItems containsString="0" containsBlank="1" containsNumber="1">
        <n v="97924.09090909091"/>
        <n v="86440.05555555556"/>
        <n v="99732.9"/>
        <n v="85027.375"/>
        <n v="77200.0"/>
        <n v="80543.84615384616"/>
        <n v="82325.25"/>
        <n v="83040.41666666667"/>
        <n v="68269.0"/>
        <n v="103087.5"/>
        <n v="78279.25"/>
        <n v="78788.16666666667"/>
        <n v="102843.0"/>
        <n v="73399.0"/>
        <n v="66152.91176470589"/>
        <n v="78795.33333333333"/>
        <n v="66862.0"/>
        <n v="69130.0"/>
        <n v="58367.0"/>
        <n v="72038.0"/>
        <n v="73280.6"/>
        <n v="79818.0"/>
        <n v="86721.0"/>
        <n v="102082.5714285714"/>
        <n v="102688.8834720571"/>
        <n v="102539.4166666667"/>
        <n v="101935.2"/>
        <n v="103332.0"/>
        <n v="101384.0"/>
        <m/>
      </sharedItems>
    </cacheField>
    <cacheField name="median" numFmtId="0">
      <sharedItems containsString="0" containsBlank="1" containsNumber="1">
        <n v="101948.0"/>
        <n v="87835.5"/>
        <n v="103281.0"/>
        <n v="81089.5"/>
        <n v="77200.0"/>
        <n v="79416.0"/>
        <n v="80733.0"/>
        <n v="73680.0"/>
        <n v="69818.0"/>
        <n v="103086.5"/>
        <n v="75536.0"/>
        <n v="77467.0"/>
        <n v="102842.0"/>
        <n v="72650.0"/>
        <n v="59789.0"/>
        <n v="74013.0"/>
        <n v="66862.0"/>
        <n v="69130.0"/>
        <n v="58367.0"/>
        <n v="72038.0"/>
        <n v="68610.0"/>
        <n v="79818.0"/>
        <n v="86721.0"/>
        <n v="102632.0"/>
        <n v="103020.0"/>
        <n v="102593.5"/>
        <n v="102305.5"/>
        <n v="103332.0"/>
        <n v="101384.0"/>
        <m/>
      </sharedItems>
    </cacheField>
    <cacheField name="stddev" numFmtId="0">
      <sharedItems containsString="0" containsBlank="1" containsNumber="1">
        <n v="7543.587083254533"/>
        <n v="11366.96299453534"/>
        <n v="9012.907393843565"/>
        <n v="10405.59832418948"/>
        <n v="3208.0"/>
        <n v="11786.69236467162"/>
        <n v="13994.2203315333"/>
        <n v="17494.89673427813"/>
        <n v="3086.771884455777"/>
        <n v="3.354101966249685"/>
        <n v="14255.65107553843"/>
        <n v="5545.510373766832"/>
        <n v="3.741657386773941"/>
        <n v="4670.683247663022"/>
        <n v="12656.73302417159"/>
        <n v="17280.8914572008"/>
        <n v="4767.0"/>
        <n v="0.0"/>
        <n v="11658.09577246645"/>
        <n v="1388.0"/>
        <n v="1427.241480933748"/>
        <n v="1109.558067042118"/>
        <n v="202.6530114643144"/>
        <n v="932.6031095809191"/>
        <m/>
      </sharedItems>
    </cacheField>
    <cacheField name="minority" numFmtId="0">
      <sharedItems containsString="0" containsBlank="1" containsNumber="1" containsInteger="1">
        <n v="77135.0"/>
        <n v="63822.0"/>
        <n v="73202.0"/>
        <n v="71485.0"/>
        <n v="73992.0"/>
        <n v="66193.0"/>
        <n v="64882.0"/>
        <n v="63956.0"/>
        <n v="63960.0"/>
        <n v="103084.0"/>
        <n v="58359.0"/>
        <n v="71931.0"/>
        <n v="102839.0"/>
        <n v="68090.0"/>
        <n v="55987.0"/>
        <n v="60431.0"/>
        <n v="62095.0"/>
        <n v="69130.0"/>
        <n v="58367.0"/>
        <n v="72038.0"/>
        <n v="57238.0"/>
        <n v="79818.0"/>
        <n v="85333.0"/>
        <n v="98912.0"/>
        <n v="98457.0"/>
        <n v="101899.0"/>
        <n v="98392.0"/>
        <n v="103332.0"/>
        <n v="101384.0"/>
        <m/>
      </sharedItems>
    </cacheField>
    <cacheField name="majority" numFmtId="0">
      <sharedItems containsString="0" containsBlank="1" containsNumber="1" containsInteger="1">
        <n v="77135.0"/>
        <n v="98444.0"/>
        <n v="73202.0"/>
        <n v="71485.0"/>
        <n v="73992.0"/>
        <n v="66193.0"/>
        <n v="64882.0"/>
        <n v="63956.0"/>
        <n v="63960.0"/>
        <n v="103084.0"/>
        <n v="58359.0"/>
        <n v="71931.0"/>
        <n v="102839.0"/>
        <n v="68090.0"/>
        <n v="55987.0"/>
        <n v="60431.0"/>
        <n v="62095.0"/>
        <n v="69130.0"/>
        <n v="58367.0"/>
        <n v="72038.0"/>
        <n v="57238.0"/>
        <n v="79818.0"/>
        <n v="85333.0"/>
        <n v="98912.0"/>
        <n v="101903.0"/>
        <n v="101899.0"/>
        <n v="98392.0"/>
        <n v="103332.0"/>
        <n v="101384.0"/>
        <m/>
      </sharedItems>
    </cacheField>
    <cacheField name="q1" numFmtId="0">
      <sharedItems containsString="0" containsBlank="1" containsNumber="1">
        <n v="94810.5"/>
        <n v="79148.0"/>
        <n v="103277.0"/>
        <n v="76975.0"/>
        <n v="73992.0"/>
        <n v="68802.0"/>
        <n v="70345.0"/>
        <n v="65770.5"/>
        <n v="66889.0"/>
        <n v="103085.0"/>
        <n v="65780.0"/>
        <n v="73742.0"/>
        <n v="102840.5"/>
        <n v="70370.0"/>
        <n v="58618.0"/>
        <n v="67222.0"/>
        <n v="62095.0"/>
        <n v="69130.0"/>
        <n v="58367.0"/>
        <n v="72038.0"/>
        <n v="67475.0"/>
        <n v="79818.0"/>
        <n v="85333.0"/>
        <n v="101912.0"/>
        <n v="102488.0"/>
        <n v="102524.0"/>
        <n v="101798.5"/>
        <n v="103332.0"/>
        <n v="101384.0"/>
        <m/>
      </sharedItems>
    </cacheField>
    <cacheField name="q3" numFmtId="0">
      <sharedItems containsString="0" containsBlank="1" containsNumber="1">
        <n v="102833.5"/>
        <n v="97462.0"/>
        <n v="103407.0"/>
        <n v="95206.5"/>
        <n v="80408.0"/>
        <n v="94721.0"/>
        <n v="94305.5"/>
        <n v="103405.5"/>
        <n v="70423.5"/>
        <n v="103090.0"/>
        <n v="87484.5"/>
        <n v="85211.0"/>
        <n v="102845.0"/>
        <n v="76053.5"/>
        <n v="63250.0"/>
        <n v="87977.5"/>
        <n v="71629.0"/>
        <n v="69130.0"/>
        <n v="58367.0"/>
        <n v="72038.0"/>
        <n v="83797.0"/>
        <n v="79818.0"/>
        <n v="88109.0"/>
        <n v="103006.0"/>
        <n v="103435.0"/>
        <n v="102654.5"/>
        <n v="102310.5"/>
        <n v="103332.0"/>
        <n v="101384.0"/>
        <m/>
      </sharedItems>
    </cacheField>
    <cacheField name="iqr" numFmtId="0">
      <sharedItems containsString="0" containsBlank="1" containsNumber="1">
        <n v="8023.0"/>
        <n v="18314.0"/>
        <n v="130.0"/>
        <n v="18231.5"/>
        <n v="6416.0"/>
        <n v="25919.0"/>
        <n v="23960.5"/>
        <n v="37635.0"/>
        <n v="3534.5"/>
        <n v="5.0"/>
        <n v="21704.5"/>
        <n v="11469.0"/>
        <n v="4.5"/>
        <n v="5683.5"/>
        <n v="4632.0"/>
        <n v="20755.5"/>
        <n v="9534.0"/>
        <n v="0.0"/>
        <n v="16322.0"/>
        <n v="2776.0"/>
        <n v="1094.0"/>
        <n v="947.0"/>
        <n v="130.5"/>
        <n v="512.0"/>
        <m/>
      </sharedItems>
    </cacheField>
    <cacheField name="Column 19" numFmtId="0">
      <sharedItems containsString="0" containsBlank="1">
        <m/>
      </sharedItems>
    </cacheField>
    <cacheField name="Column 20" numFmtId="0">
      <sharedItems containsString="0" containsBlank="1">
        <m/>
      </sharedItems>
    </cacheField>
    <cacheField name="Column 21" numFmtId="0">
      <sharedItems containsString="0" containsBlank="1">
        <m/>
      </sharedItems>
    </cacheField>
    <cacheField name="Column 22" numFmtId="0">
      <sharedItems containsString="0" containsBlank="1">
        <m/>
      </sharedItems>
    </cacheField>
    <cacheField name="Column 23" numFmtId="0">
      <sharedItems containsString="0" containsBlank="1">
        <m/>
      </sharedItems>
    </cacheField>
    <cacheField name="Column 24" numFmtId="0">
      <sharedItems containsString="0" containsBlank="1">
        <m/>
      </sharedItems>
    </cacheField>
    <cacheField name="Column 25" numFmtId="0">
      <sharedItems containsString="0" containsBlank="1">
        <m/>
      </sharedItems>
    </cacheField>
    <cacheField name="Column 26" numFmtId="0">
      <sharedItems containsString="0" containsBlank="1">
        <m/>
      </sharedItems>
    </cacheField>
    <cacheField name="Column 27"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lGrandTotals="0" compact="0" compactData="0">
  <location ref="A1:G10" firstHeaderRow="0" firstDataRow="1" firstDataCol="2"/>
  <pivotFields>
    <pivotField name="PROJECT_TYPE" compact="0" outline="0" multipleItemSelectionAllowed="1" showAll="0">
      <items>
        <item x="0"/>
        <item x="1"/>
        <item x="2"/>
        <item x="3"/>
        <item x="4"/>
        <item x="5"/>
        <item x="6"/>
        <item x="7"/>
        <item t="default"/>
      </items>
    </pivotField>
    <pivotField name="PROJECT_TYPE_LABEL" axis="axisRow" compact="0" outline="0" multipleItemSelectionAllowed="1" showAll="0" sortType="ascending">
      <items>
        <item x="7"/>
        <item x="4"/>
        <item x="6"/>
        <item x="5"/>
        <item x="1"/>
        <item x="0"/>
        <item x="2"/>
        <item x="3"/>
        <item t="default"/>
      </items>
    </pivotField>
    <pivotField name="Building Era Code" axis="axisCol" compact="0" outline="0" multipleItemSelectionAllowed="1" showAll="0" sortType="ascending" defaultSubtotal="0">
      <items>
        <item x="6"/>
        <item x="0"/>
        <item x="1"/>
        <item x="2"/>
        <item x="3"/>
        <item x="4"/>
        <item x="5"/>
      </items>
    </pivotField>
    <pivotField name="BUILDING_ERA" axis="axisCol" compact="0" outline="0" multipleItemSelectionAllowed="1" showAll="0" sortType="ascending">
      <items>
        <item h="1" x="6"/>
        <item x="2"/>
        <item x="3"/>
        <item x="4"/>
        <item x="5"/>
        <item x="1"/>
        <item x="0"/>
        <item t="default"/>
      </items>
    </pivotField>
    <pivotField name="count" compact="0" outline="0" multipleItemSelectionAllowed="1" showAll="0">
      <items>
        <item x="0"/>
        <item x="1"/>
        <item x="2"/>
        <item x="3"/>
        <item x="4"/>
        <item x="5"/>
        <item x="6"/>
        <item x="7"/>
        <item x="8"/>
        <item x="9"/>
        <item x="10"/>
        <item x="11"/>
        <item x="12"/>
        <item x="13"/>
        <item x="14"/>
        <item x="15"/>
        <item t="default"/>
      </items>
    </pivotField>
    <pivotField name="unique" dataField="1" compact="0" outline="0" multipleItemSelectionAllowed="1" showAll="0">
      <items>
        <item x="0"/>
        <item x="1"/>
        <item x="2"/>
        <item x="3"/>
        <item x="4"/>
        <item x="5"/>
        <item x="6"/>
        <item x="7"/>
        <item x="8"/>
        <item x="9"/>
        <item x="10"/>
        <item x="11"/>
        <item x="12"/>
        <item x="13"/>
        <item x="14"/>
        <item x="15"/>
        <item t="default"/>
      </items>
    </pivotField>
    <pivotField name="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u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dde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in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j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q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q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iq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lumn 19" compact="0" outline="0" multipleItemSelectionAllowed="1" showAll="0">
      <items>
        <item x="0"/>
        <item t="default"/>
      </items>
    </pivotField>
    <pivotField name="Column 20" compact="0" outline="0" multipleItemSelectionAllowed="1" showAll="0">
      <items>
        <item x="0"/>
        <item t="default"/>
      </items>
    </pivotField>
    <pivotField name="Column 21" compact="0" outline="0" multipleItemSelectionAllowed="1" showAll="0">
      <items>
        <item x="0"/>
        <item t="default"/>
      </items>
    </pivotField>
    <pivotField name="Column 22" compact="0" outline="0" multipleItemSelectionAllowed="1" showAll="0">
      <items>
        <item x="0"/>
        <item t="default"/>
      </items>
    </pivotField>
    <pivotField name="Column 23" compact="0" outline="0" multipleItemSelectionAllowed="1" showAll="0">
      <items>
        <item x="0"/>
        <item t="default"/>
      </items>
    </pivotField>
    <pivotField name="Column 24" compact="0" outline="0" multipleItemSelectionAllowed="1" showAll="0">
      <items>
        <item x="0"/>
        <item t="default"/>
      </items>
    </pivotField>
    <pivotField name="Column 25" compact="0" outline="0" multipleItemSelectionAllowed="1" showAll="0">
      <items>
        <item x="0"/>
        <item t="default"/>
      </items>
    </pivotField>
    <pivotField name="Column 26" compact="0" outline="0" multipleItemSelectionAllowed="1" showAll="0">
      <items>
        <item x="0"/>
        <item t="default"/>
      </items>
    </pivotField>
    <pivotField name="Column 27" compact="0" outline="0" multipleItemSelectionAllowed="1" showAll="0">
      <items>
        <item x="0"/>
        <item t="default"/>
      </items>
    </pivotField>
  </pivotFields>
  <rowFields>
    <field x="1"/>
  </rowFields>
  <colFields>
    <field x="2"/>
    <field x="3"/>
  </colFields>
  <dataFields>
    <dataField name="SUM of unique" fld="5" baseField="0"/>
  </dataFields>
</pivotTableDefinition>
</file>

<file path=xl/tables/table1.xml><?xml version="1.0" encoding="utf-8"?>
<table xmlns="http://schemas.openxmlformats.org/spreadsheetml/2006/main" ref="A1:AA30" displayName="Table1" name="Table1" id="1">
  <tableColumns count="27">
    <tableColumn name="PROJECT_TYPE" id="1"/>
    <tableColumn name="PROJECT_TYPE_LABEL" id="2"/>
    <tableColumn name="Building Era Code" id="3"/>
    <tableColumn name="BUILDING_ERA" id="4"/>
    <tableColumn name="count" id="5"/>
    <tableColumn name="unique" id="6"/>
    <tableColumn name="min" id="7"/>
    <tableColumn name="max" id="8"/>
    <tableColumn name="range" id="9"/>
    <tableColumn name="sum" id="10"/>
    <tableColumn name="mean" id="11"/>
    <tableColumn name="median" id="12"/>
    <tableColumn name="stddev" id="13"/>
    <tableColumn name="minority" id="14"/>
    <tableColumn name="majority" id="15"/>
    <tableColumn name="q1" id="16"/>
    <tableColumn name="q3" id="17"/>
    <tableColumn name="iqr"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s>
  <tableStyleInfo name="statistics_by_categ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38"/>
    <col customWidth="1" min="2" max="2" width="24.38"/>
    <col customWidth="1" min="3" max="4" width="16.75"/>
    <col customWidth="1" min="5" max="18" width="15.0"/>
    <col customWidth="1" min="19" max="27" width="8.63"/>
  </cols>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3" t="s">
        <v>19</v>
      </c>
      <c r="T1" s="3" t="s">
        <v>20</v>
      </c>
      <c r="U1" s="3" t="s">
        <v>21</v>
      </c>
      <c r="V1" s="3" t="s">
        <v>22</v>
      </c>
      <c r="W1" s="3" t="s">
        <v>23</v>
      </c>
      <c r="X1" s="3" t="s">
        <v>24</v>
      </c>
      <c r="Y1" s="3" t="s">
        <v>25</v>
      </c>
      <c r="Z1" s="3" t="s">
        <v>26</v>
      </c>
      <c r="AA1" s="3" t="s">
        <v>27</v>
      </c>
    </row>
    <row r="2">
      <c r="A2" s="4" t="s">
        <v>28</v>
      </c>
      <c r="B2" s="4" t="s">
        <v>29</v>
      </c>
      <c r="C2" s="5">
        <v>0.0</v>
      </c>
      <c r="D2" s="4" t="s">
        <v>30</v>
      </c>
      <c r="E2" s="4">
        <v>11.0</v>
      </c>
      <c r="F2" s="4">
        <v>11.0</v>
      </c>
      <c r="G2" s="4">
        <v>77135.0</v>
      </c>
      <c r="H2" s="4">
        <v>103090.0</v>
      </c>
      <c r="I2" s="4">
        <v>25955.0</v>
      </c>
      <c r="J2" s="4">
        <v>1077165.0</v>
      </c>
      <c r="K2" s="4">
        <v>97924.09090909091</v>
      </c>
      <c r="L2" s="4">
        <v>101948.0</v>
      </c>
      <c r="M2" s="4">
        <v>7543.587083254533</v>
      </c>
      <c r="N2" s="4">
        <v>77135.0</v>
      </c>
      <c r="O2" s="4">
        <v>77135.0</v>
      </c>
      <c r="P2" s="4">
        <v>94810.5</v>
      </c>
      <c r="Q2" s="4">
        <v>102833.5</v>
      </c>
      <c r="R2" s="4">
        <v>8023.0</v>
      </c>
      <c r="S2" s="6"/>
      <c r="T2" s="6"/>
      <c r="U2" s="6"/>
      <c r="V2" s="6"/>
      <c r="W2" s="6"/>
      <c r="X2" s="6"/>
      <c r="Y2" s="6"/>
      <c r="Z2" s="6"/>
      <c r="AA2" s="6"/>
    </row>
    <row r="3">
      <c r="A3" s="4" t="s">
        <v>31</v>
      </c>
      <c r="B3" s="4" t="s">
        <v>32</v>
      </c>
      <c r="C3" s="5">
        <v>0.0</v>
      </c>
      <c r="D3" s="4" t="s">
        <v>30</v>
      </c>
      <c r="E3" s="4">
        <v>18.0</v>
      </c>
      <c r="F3" s="4">
        <v>17.0</v>
      </c>
      <c r="G3" s="4">
        <v>63822.0</v>
      </c>
      <c r="H3" s="4">
        <v>103293.0</v>
      </c>
      <c r="I3" s="4">
        <v>39471.0</v>
      </c>
      <c r="J3" s="4">
        <v>1555921.0</v>
      </c>
      <c r="K3" s="4">
        <v>86440.05555555556</v>
      </c>
      <c r="L3" s="4">
        <v>87835.5</v>
      </c>
      <c r="M3" s="4">
        <v>11366.96299453534</v>
      </c>
      <c r="N3" s="4">
        <v>63822.0</v>
      </c>
      <c r="O3" s="4">
        <v>98444.0</v>
      </c>
      <c r="P3" s="4">
        <v>79148.0</v>
      </c>
      <c r="Q3" s="4">
        <v>97462.0</v>
      </c>
      <c r="R3" s="4">
        <v>18314.0</v>
      </c>
      <c r="S3" s="6"/>
      <c r="T3" s="6"/>
      <c r="U3" s="6"/>
      <c r="V3" s="6"/>
      <c r="W3" s="6"/>
      <c r="X3" s="6"/>
      <c r="Y3" s="6"/>
      <c r="Z3" s="6"/>
      <c r="AA3" s="6"/>
    </row>
    <row r="4">
      <c r="A4" s="4" t="s">
        <v>33</v>
      </c>
      <c r="B4" s="4" t="s">
        <v>34</v>
      </c>
      <c r="C4" s="5">
        <v>0.0</v>
      </c>
      <c r="D4" s="4" t="s">
        <v>30</v>
      </c>
      <c r="E4" s="4">
        <v>10.0</v>
      </c>
      <c r="F4" s="4">
        <v>10.0</v>
      </c>
      <c r="G4" s="4">
        <v>73202.0</v>
      </c>
      <c r="H4" s="4">
        <v>103411.0</v>
      </c>
      <c r="I4" s="4">
        <v>30209.0</v>
      </c>
      <c r="J4" s="4">
        <v>997329.0</v>
      </c>
      <c r="K4" s="4">
        <v>99732.9</v>
      </c>
      <c r="L4" s="4">
        <v>103281.0</v>
      </c>
      <c r="M4" s="4">
        <v>9012.907393843565</v>
      </c>
      <c r="N4" s="4">
        <v>73202.0</v>
      </c>
      <c r="O4" s="4">
        <v>73202.0</v>
      </c>
      <c r="P4" s="4">
        <v>103277.0</v>
      </c>
      <c r="Q4" s="4">
        <v>103407.0</v>
      </c>
      <c r="R4" s="4">
        <v>130.0</v>
      </c>
      <c r="S4" s="6"/>
      <c r="T4" s="6"/>
      <c r="U4" s="6"/>
      <c r="V4" s="6"/>
      <c r="W4" s="6"/>
      <c r="X4" s="6"/>
      <c r="Y4" s="6"/>
      <c r="Z4" s="6"/>
      <c r="AA4" s="6"/>
    </row>
    <row r="5">
      <c r="A5" s="4" t="s">
        <v>35</v>
      </c>
      <c r="B5" s="4" t="s">
        <v>36</v>
      </c>
      <c r="C5" s="5">
        <v>0.0</v>
      </c>
      <c r="D5" s="4" t="s">
        <v>30</v>
      </c>
      <c r="E5" s="4">
        <v>8.0</v>
      </c>
      <c r="F5" s="4">
        <v>8.0</v>
      </c>
      <c r="G5" s="4">
        <v>71485.0</v>
      </c>
      <c r="H5" s="4">
        <v>102192.0</v>
      </c>
      <c r="I5" s="4">
        <v>30707.0</v>
      </c>
      <c r="J5" s="4">
        <v>680219.0</v>
      </c>
      <c r="K5" s="4">
        <v>85027.375</v>
      </c>
      <c r="L5" s="4">
        <v>81089.5</v>
      </c>
      <c r="M5" s="4">
        <v>10405.59832418948</v>
      </c>
      <c r="N5" s="4">
        <v>71485.0</v>
      </c>
      <c r="O5" s="4">
        <v>71485.0</v>
      </c>
      <c r="P5" s="4">
        <v>76975.0</v>
      </c>
      <c r="Q5" s="4">
        <v>95206.5</v>
      </c>
      <c r="R5" s="4">
        <v>18231.5</v>
      </c>
      <c r="S5" s="6"/>
      <c r="T5" s="6"/>
      <c r="U5" s="6"/>
      <c r="V5" s="6"/>
      <c r="W5" s="6"/>
      <c r="X5" s="6"/>
      <c r="Y5" s="6"/>
      <c r="Z5" s="6"/>
      <c r="AA5" s="6"/>
    </row>
    <row r="6">
      <c r="A6" s="4" t="s">
        <v>37</v>
      </c>
      <c r="B6" s="4" t="s">
        <v>38</v>
      </c>
      <c r="C6" s="5">
        <v>0.0</v>
      </c>
      <c r="D6" s="4" t="s">
        <v>30</v>
      </c>
      <c r="E6" s="4">
        <v>2.0</v>
      </c>
      <c r="F6" s="4">
        <v>2.0</v>
      </c>
      <c r="G6" s="4">
        <v>73992.0</v>
      </c>
      <c r="H6" s="4">
        <v>80408.0</v>
      </c>
      <c r="I6" s="4">
        <v>6416.0</v>
      </c>
      <c r="J6" s="4">
        <v>154400.0</v>
      </c>
      <c r="K6" s="4">
        <v>77200.0</v>
      </c>
      <c r="L6" s="4">
        <v>77200.0</v>
      </c>
      <c r="M6" s="4">
        <v>3208.0</v>
      </c>
      <c r="N6" s="4">
        <v>73992.0</v>
      </c>
      <c r="O6" s="4">
        <v>73992.0</v>
      </c>
      <c r="P6" s="4">
        <v>73992.0</v>
      </c>
      <c r="Q6" s="4">
        <v>80408.0</v>
      </c>
      <c r="R6" s="4">
        <v>6416.0</v>
      </c>
      <c r="S6" s="6"/>
      <c r="T6" s="6"/>
      <c r="U6" s="6"/>
      <c r="V6" s="6"/>
      <c r="W6" s="6"/>
      <c r="X6" s="6"/>
      <c r="Y6" s="6"/>
      <c r="Z6" s="6"/>
      <c r="AA6" s="6"/>
    </row>
    <row r="7">
      <c r="A7" s="4" t="s">
        <v>39</v>
      </c>
      <c r="B7" s="4" t="s">
        <v>40</v>
      </c>
      <c r="C7" s="5">
        <v>0.0</v>
      </c>
      <c r="D7" s="4" t="s">
        <v>30</v>
      </c>
      <c r="E7" s="4">
        <v>13.0</v>
      </c>
      <c r="F7" s="4">
        <v>13.0</v>
      </c>
      <c r="G7" s="4">
        <v>66193.0</v>
      </c>
      <c r="H7" s="4">
        <v>95451.0</v>
      </c>
      <c r="I7" s="4">
        <v>29258.0</v>
      </c>
      <c r="J7" s="4">
        <v>1047070.0</v>
      </c>
      <c r="K7" s="4">
        <v>80543.84615384616</v>
      </c>
      <c r="L7" s="4">
        <v>79416.0</v>
      </c>
      <c r="M7" s="4">
        <v>11786.69236467162</v>
      </c>
      <c r="N7" s="4">
        <v>66193.0</v>
      </c>
      <c r="O7" s="4">
        <v>66193.0</v>
      </c>
      <c r="P7" s="4">
        <v>68802.0</v>
      </c>
      <c r="Q7" s="4">
        <v>94721.0</v>
      </c>
      <c r="R7" s="4">
        <v>25919.0</v>
      </c>
      <c r="S7" s="6"/>
      <c r="T7" s="6"/>
      <c r="U7" s="6"/>
      <c r="V7" s="6"/>
      <c r="W7" s="6"/>
      <c r="X7" s="6"/>
      <c r="Y7" s="6"/>
      <c r="Z7" s="6"/>
      <c r="AA7" s="6"/>
    </row>
    <row r="8">
      <c r="A8" s="4" t="s">
        <v>42</v>
      </c>
      <c r="B8" s="4" t="s">
        <v>43</v>
      </c>
      <c r="C8" s="5">
        <v>0.0</v>
      </c>
      <c r="D8" s="4" t="s">
        <v>30</v>
      </c>
      <c r="E8" s="4">
        <v>4.0</v>
      </c>
      <c r="F8" s="4">
        <v>4.0</v>
      </c>
      <c r="G8" s="4">
        <v>64882.0</v>
      </c>
      <c r="H8" s="4">
        <v>102953.0</v>
      </c>
      <c r="I8" s="4">
        <v>38071.0</v>
      </c>
      <c r="J8" s="4">
        <v>329301.0</v>
      </c>
      <c r="K8" s="4">
        <v>82325.25</v>
      </c>
      <c r="L8" s="4">
        <v>80733.0</v>
      </c>
      <c r="M8" s="4">
        <v>13994.2203315333</v>
      </c>
      <c r="N8" s="4">
        <v>64882.0</v>
      </c>
      <c r="O8" s="4">
        <v>64882.0</v>
      </c>
      <c r="P8" s="4">
        <v>70345.0</v>
      </c>
      <c r="Q8" s="4">
        <v>94305.5</v>
      </c>
      <c r="R8" s="4">
        <v>23960.5</v>
      </c>
      <c r="S8" s="6"/>
      <c r="T8" s="6"/>
      <c r="U8" s="6"/>
      <c r="V8" s="6"/>
      <c r="W8" s="6"/>
      <c r="X8" s="6"/>
      <c r="Y8" s="6"/>
      <c r="Z8" s="6"/>
      <c r="AA8" s="6"/>
    </row>
    <row r="9">
      <c r="A9" s="4" t="s">
        <v>33</v>
      </c>
      <c r="B9" s="4" t="s">
        <v>34</v>
      </c>
      <c r="C9" s="5">
        <v>1.0</v>
      </c>
      <c r="D9" s="4" t="s">
        <v>44</v>
      </c>
      <c r="E9" s="4">
        <v>12.0</v>
      </c>
      <c r="F9" s="4">
        <v>12.0</v>
      </c>
      <c r="G9" s="4">
        <v>63956.0</v>
      </c>
      <c r="H9" s="4">
        <v>103415.0</v>
      </c>
      <c r="I9" s="4">
        <v>39459.0</v>
      </c>
      <c r="J9" s="4">
        <v>996485.0</v>
      </c>
      <c r="K9" s="4">
        <v>83040.41666666667</v>
      </c>
      <c r="L9" s="4">
        <v>73680.0</v>
      </c>
      <c r="M9" s="4">
        <v>17494.89673427813</v>
      </c>
      <c r="N9" s="4">
        <v>63956.0</v>
      </c>
      <c r="O9" s="4">
        <v>63956.0</v>
      </c>
      <c r="P9" s="4">
        <v>65770.5</v>
      </c>
      <c r="Q9" s="4">
        <v>103405.5</v>
      </c>
      <c r="R9" s="4">
        <v>37635.0</v>
      </c>
      <c r="S9" s="6"/>
      <c r="T9" s="6"/>
      <c r="U9" s="6"/>
      <c r="V9" s="6"/>
      <c r="W9" s="6"/>
      <c r="X9" s="6"/>
      <c r="Y9" s="6"/>
      <c r="Z9" s="6"/>
      <c r="AA9" s="6"/>
    </row>
    <row r="10">
      <c r="A10" s="4" t="s">
        <v>39</v>
      </c>
      <c r="B10" s="4" t="s">
        <v>40</v>
      </c>
      <c r="C10" s="5">
        <v>1.0</v>
      </c>
      <c r="D10" s="4" t="s">
        <v>44</v>
      </c>
      <c r="E10" s="4">
        <v>3.0</v>
      </c>
      <c r="F10" s="4">
        <v>3.0</v>
      </c>
      <c r="G10" s="4">
        <v>63960.0</v>
      </c>
      <c r="H10" s="4">
        <v>71029.0</v>
      </c>
      <c r="I10" s="4">
        <v>7069.0</v>
      </c>
      <c r="J10" s="4">
        <v>204807.0</v>
      </c>
      <c r="K10" s="4">
        <v>68269.0</v>
      </c>
      <c r="L10" s="4">
        <v>69818.0</v>
      </c>
      <c r="M10" s="4">
        <v>3086.771884455777</v>
      </c>
      <c r="N10" s="4">
        <v>63960.0</v>
      </c>
      <c r="O10" s="4">
        <v>63960.0</v>
      </c>
      <c r="P10" s="4">
        <v>66889.0</v>
      </c>
      <c r="Q10" s="4">
        <v>70423.5</v>
      </c>
      <c r="R10" s="4">
        <v>3534.5</v>
      </c>
      <c r="S10" s="6"/>
      <c r="T10" s="6"/>
      <c r="U10" s="6"/>
      <c r="V10" s="6"/>
      <c r="W10" s="6"/>
      <c r="X10" s="6"/>
      <c r="Y10" s="6"/>
      <c r="Z10" s="6"/>
      <c r="AA10" s="6"/>
    </row>
    <row r="11">
      <c r="A11" s="4" t="s">
        <v>28</v>
      </c>
      <c r="B11" s="4" t="s">
        <v>29</v>
      </c>
      <c r="C11" s="5">
        <v>1.0</v>
      </c>
      <c r="D11" s="4" t="s">
        <v>44</v>
      </c>
      <c r="E11" s="4">
        <v>4.0</v>
      </c>
      <c r="F11" s="4">
        <v>4.0</v>
      </c>
      <c r="G11" s="4">
        <v>103084.0</v>
      </c>
      <c r="H11" s="4">
        <v>103093.0</v>
      </c>
      <c r="I11" s="4">
        <v>9.0</v>
      </c>
      <c r="J11" s="4">
        <v>412350.0</v>
      </c>
      <c r="K11" s="4">
        <v>103087.5</v>
      </c>
      <c r="L11" s="4">
        <v>103086.5</v>
      </c>
      <c r="M11" s="4">
        <v>3.354101966249685</v>
      </c>
      <c r="N11" s="4">
        <v>103084.0</v>
      </c>
      <c r="O11" s="4">
        <v>103084.0</v>
      </c>
      <c r="P11" s="4">
        <v>103085.0</v>
      </c>
      <c r="Q11" s="4">
        <v>103090.0</v>
      </c>
      <c r="R11" s="4">
        <v>5.0</v>
      </c>
      <c r="S11" s="6"/>
      <c r="T11" s="6"/>
      <c r="U11" s="6"/>
      <c r="V11" s="6"/>
      <c r="W11" s="6"/>
      <c r="X11" s="6"/>
      <c r="Y11" s="6"/>
      <c r="Z11" s="6"/>
      <c r="AA11" s="6"/>
    </row>
    <row r="12">
      <c r="A12" s="4" t="s">
        <v>33</v>
      </c>
      <c r="B12" s="4" t="s">
        <v>34</v>
      </c>
      <c r="C12" s="5">
        <v>2.0</v>
      </c>
      <c r="D12" s="4" t="s">
        <v>45</v>
      </c>
      <c r="E12" s="4">
        <v>20.0</v>
      </c>
      <c r="F12" s="4">
        <v>20.0</v>
      </c>
      <c r="G12" s="4">
        <v>58359.0</v>
      </c>
      <c r="H12" s="4">
        <v>103413.0</v>
      </c>
      <c r="I12" s="4">
        <v>45054.0</v>
      </c>
      <c r="J12" s="4">
        <v>1565585.0</v>
      </c>
      <c r="K12" s="4">
        <v>78279.25</v>
      </c>
      <c r="L12" s="4">
        <v>75536.0</v>
      </c>
      <c r="M12" s="4">
        <v>14255.65107553843</v>
      </c>
      <c r="N12" s="4">
        <v>58359.0</v>
      </c>
      <c r="O12" s="4">
        <v>58359.0</v>
      </c>
      <c r="P12" s="4">
        <v>65780.0</v>
      </c>
      <c r="Q12" s="4">
        <v>87484.5</v>
      </c>
      <c r="R12" s="4">
        <v>21704.5</v>
      </c>
      <c r="S12" s="6"/>
      <c r="T12" s="6"/>
      <c r="U12" s="6"/>
      <c r="V12" s="6"/>
      <c r="W12" s="6"/>
      <c r="X12" s="6"/>
      <c r="Y12" s="6"/>
      <c r="Z12" s="6"/>
      <c r="AA12" s="6"/>
    </row>
    <row r="13">
      <c r="A13" s="4" t="s">
        <v>39</v>
      </c>
      <c r="B13" s="4" t="s">
        <v>40</v>
      </c>
      <c r="C13" s="5">
        <v>2.0</v>
      </c>
      <c r="D13" s="4" t="s">
        <v>45</v>
      </c>
      <c r="E13" s="4">
        <v>12.0</v>
      </c>
      <c r="F13" s="4">
        <v>12.0</v>
      </c>
      <c r="G13" s="4">
        <v>71931.0</v>
      </c>
      <c r="H13" s="4">
        <v>86838.0</v>
      </c>
      <c r="I13" s="4">
        <v>14907.0</v>
      </c>
      <c r="J13" s="4">
        <v>945458.0</v>
      </c>
      <c r="K13" s="4">
        <v>78788.16666666667</v>
      </c>
      <c r="L13" s="4">
        <v>77467.0</v>
      </c>
      <c r="M13" s="4">
        <v>5545.510373766832</v>
      </c>
      <c r="N13" s="4">
        <v>71931.0</v>
      </c>
      <c r="O13" s="4">
        <v>71931.0</v>
      </c>
      <c r="P13" s="4">
        <v>73742.0</v>
      </c>
      <c r="Q13" s="4">
        <v>85211.0</v>
      </c>
      <c r="R13" s="4">
        <v>11469.0</v>
      </c>
      <c r="S13" s="6"/>
      <c r="T13" s="6"/>
      <c r="U13" s="6"/>
      <c r="V13" s="6"/>
      <c r="W13" s="6"/>
      <c r="X13" s="6"/>
      <c r="Y13" s="6"/>
      <c r="Z13" s="6"/>
      <c r="AA13" s="6"/>
    </row>
    <row r="14">
      <c r="A14" s="4" t="s">
        <v>28</v>
      </c>
      <c r="B14" s="4" t="s">
        <v>29</v>
      </c>
      <c r="C14" s="5">
        <v>2.0</v>
      </c>
      <c r="D14" s="4" t="s">
        <v>45</v>
      </c>
      <c r="E14" s="4">
        <v>3.0</v>
      </c>
      <c r="F14" s="4">
        <v>3.0</v>
      </c>
      <c r="G14" s="4">
        <v>102839.0</v>
      </c>
      <c r="H14" s="4">
        <v>102848.0</v>
      </c>
      <c r="I14" s="4">
        <v>9.0</v>
      </c>
      <c r="J14" s="4">
        <v>308529.0</v>
      </c>
      <c r="K14" s="4">
        <v>102843.0</v>
      </c>
      <c r="L14" s="4">
        <v>102842.0</v>
      </c>
      <c r="M14" s="4">
        <v>3.741657386773941</v>
      </c>
      <c r="N14" s="4">
        <v>102839.0</v>
      </c>
      <c r="O14" s="4">
        <v>102839.0</v>
      </c>
      <c r="P14" s="4">
        <v>102840.5</v>
      </c>
      <c r="Q14" s="4">
        <v>102845.0</v>
      </c>
      <c r="R14" s="4">
        <v>4.5</v>
      </c>
      <c r="S14" s="6"/>
      <c r="T14" s="6"/>
      <c r="U14" s="6"/>
      <c r="V14" s="6"/>
      <c r="W14" s="6"/>
      <c r="X14" s="6"/>
      <c r="Y14" s="6"/>
      <c r="Z14" s="6"/>
      <c r="AA14" s="6"/>
    </row>
    <row r="15">
      <c r="A15" s="4" t="s">
        <v>33</v>
      </c>
      <c r="B15" s="4" t="s">
        <v>34</v>
      </c>
      <c r="C15" s="5">
        <v>3.0</v>
      </c>
      <c r="D15" s="4" t="s">
        <v>46</v>
      </c>
      <c r="E15" s="4">
        <v>3.0</v>
      </c>
      <c r="F15" s="4">
        <v>3.0</v>
      </c>
      <c r="G15" s="4">
        <v>68090.0</v>
      </c>
      <c r="H15" s="4">
        <v>79457.0</v>
      </c>
      <c r="I15" s="4">
        <v>11367.0</v>
      </c>
      <c r="J15" s="4">
        <v>220197.0</v>
      </c>
      <c r="K15" s="4">
        <v>73399.0</v>
      </c>
      <c r="L15" s="4">
        <v>72650.0</v>
      </c>
      <c r="M15" s="4">
        <v>4670.683247663022</v>
      </c>
      <c r="N15" s="4">
        <v>68090.0</v>
      </c>
      <c r="O15" s="4">
        <v>68090.0</v>
      </c>
      <c r="P15" s="4">
        <v>70370.0</v>
      </c>
      <c r="Q15" s="4">
        <v>76053.5</v>
      </c>
      <c r="R15" s="4">
        <v>5683.5</v>
      </c>
      <c r="S15" s="6"/>
      <c r="T15" s="6"/>
      <c r="U15" s="6"/>
      <c r="V15" s="6"/>
      <c r="W15" s="6"/>
      <c r="X15" s="6"/>
      <c r="Y15" s="6"/>
      <c r="Z15" s="6"/>
      <c r="AA15" s="6"/>
    </row>
    <row r="16">
      <c r="A16" s="4" t="s">
        <v>39</v>
      </c>
      <c r="B16" s="4" t="s">
        <v>40</v>
      </c>
      <c r="C16" s="5">
        <v>3.0</v>
      </c>
      <c r="D16" s="4" t="s">
        <v>46</v>
      </c>
      <c r="E16" s="4">
        <v>34.0</v>
      </c>
      <c r="F16" s="4">
        <v>34.0</v>
      </c>
      <c r="G16" s="4">
        <v>55987.0</v>
      </c>
      <c r="H16" s="4">
        <v>98471.0</v>
      </c>
      <c r="I16" s="4">
        <v>42484.0</v>
      </c>
      <c r="J16" s="4">
        <v>2249199.0</v>
      </c>
      <c r="K16" s="4">
        <v>66152.91176470589</v>
      </c>
      <c r="L16" s="4">
        <v>59789.0</v>
      </c>
      <c r="M16" s="4">
        <v>12656.73302417159</v>
      </c>
      <c r="N16" s="4">
        <v>55987.0</v>
      </c>
      <c r="O16" s="4">
        <v>55987.0</v>
      </c>
      <c r="P16" s="4">
        <v>58618.0</v>
      </c>
      <c r="Q16" s="4">
        <v>63250.0</v>
      </c>
      <c r="R16" s="4">
        <v>4632.0</v>
      </c>
      <c r="S16" s="6"/>
      <c r="T16" s="6"/>
      <c r="U16" s="6"/>
      <c r="V16" s="6"/>
      <c r="W16" s="6"/>
      <c r="X16" s="6"/>
      <c r="Y16" s="6"/>
      <c r="Z16" s="6"/>
      <c r="AA16" s="6"/>
    </row>
    <row r="17">
      <c r="A17" s="4" t="s">
        <v>28</v>
      </c>
      <c r="B17" s="4" t="s">
        <v>29</v>
      </c>
      <c r="C17" s="5">
        <v>3.0</v>
      </c>
      <c r="D17" s="4" t="s">
        <v>46</v>
      </c>
      <c r="E17" s="4">
        <v>3.0</v>
      </c>
      <c r="F17" s="4">
        <v>3.0</v>
      </c>
      <c r="G17" s="4">
        <v>60431.0</v>
      </c>
      <c r="H17" s="4">
        <v>101942.0</v>
      </c>
      <c r="I17" s="4">
        <v>41511.0</v>
      </c>
      <c r="J17" s="4">
        <v>236386.0</v>
      </c>
      <c r="K17" s="4">
        <v>78795.33333333333</v>
      </c>
      <c r="L17" s="4">
        <v>74013.0</v>
      </c>
      <c r="M17" s="4">
        <v>17280.8914572008</v>
      </c>
      <c r="N17" s="4">
        <v>60431.0</v>
      </c>
      <c r="O17" s="4">
        <v>60431.0</v>
      </c>
      <c r="P17" s="4">
        <v>67222.0</v>
      </c>
      <c r="Q17" s="4">
        <v>87977.5</v>
      </c>
      <c r="R17" s="4">
        <v>20755.5</v>
      </c>
      <c r="S17" s="6"/>
      <c r="T17" s="6"/>
      <c r="U17" s="6"/>
      <c r="V17" s="6"/>
      <c r="W17" s="6"/>
      <c r="X17" s="6"/>
      <c r="Y17" s="6"/>
      <c r="Z17" s="6"/>
      <c r="AA17" s="6"/>
    </row>
    <row r="18">
      <c r="A18" s="4" t="s">
        <v>31</v>
      </c>
      <c r="B18" s="4" t="s">
        <v>32</v>
      </c>
      <c r="C18" s="5">
        <v>3.0</v>
      </c>
      <c r="D18" s="4" t="s">
        <v>46</v>
      </c>
      <c r="E18" s="4">
        <v>2.0</v>
      </c>
      <c r="F18" s="4">
        <v>2.0</v>
      </c>
      <c r="G18" s="4">
        <v>62095.0</v>
      </c>
      <c r="H18" s="4">
        <v>71629.0</v>
      </c>
      <c r="I18" s="4">
        <v>9534.0</v>
      </c>
      <c r="J18" s="4">
        <v>133724.0</v>
      </c>
      <c r="K18" s="4">
        <v>66862.0</v>
      </c>
      <c r="L18" s="4">
        <v>66862.0</v>
      </c>
      <c r="M18" s="4">
        <v>4767.0</v>
      </c>
      <c r="N18" s="4">
        <v>62095.0</v>
      </c>
      <c r="O18" s="4">
        <v>62095.0</v>
      </c>
      <c r="P18" s="4">
        <v>62095.0</v>
      </c>
      <c r="Q18" s="4">
        <v>71629.0</v>
      </c>
      <c r="R18" s="4">
        <v>9534.0</v>
      </c>
      <c r="S18" s="6"/>
      <c r="T18" s="6"/>
      <c r="U18" s="6"/>
      <c r="V18" s="6"/>
      <c r="W18" s="6"/>
      <c r="X18" s="6"/>
      <c r="Y18" s="6"/>
      <c r="Z18" s="6"/>
      <c r="AA18" s="6"/>
    </row>
    <row r="19">
      <c r="A19" s="4" t="s">
        <v>35</v>
      </c>
      <c r="B19" s="4" t="s">
        <v>36</v>
      </c>
      <c r="C19" s="5">
        <v>3.0</v>
      </c>
      <c r="D19" s="4" t="s">
        <v>46</v>
      </c>
      <c r="E19" s="4">
        <v>1.0</v>
      </c>
      <c r="F19" s="4">
        <v>1.0</v>
      </c>
      <c r="G19" s="4">
        <v>69130.0</v>
      </c>
      <c r="H19" s="4">
        <v>69130.0</v>
      </c>
      <c r="I19" s="4">
        <v>0.0</v>
      </c>
      <c r="J19" s="4">
        <v>69130.0</v>
      </c>
      <c r="K19" s="4">
        <v>69130.0</v>
      </c>
      <c r="L19" s="4">
        <v>69130.0</v>
      </c>
      <c r="M19" s="4">
        <v>0.0</v>
      </c>
      <c r="N19" s="4">
        <v>69130.0</v>
      </c>
      <c r="O19" s="4">
        <v>69130.0</v>
      </c>
      <c r="P19" s="4">
        <v>69130.0</v>
      </c>
      <c r="Q19" s="4">
        <v>69130.0</v>
      </c>
      <c r="R19" s="4">
        <v>0.0</v>
      </c>
      <c r="S19" s="6"/>
      <c r="T19" s="6"/>
      <c r="U19" s="6"/>
      <c r="V19" s="6"/>
      <c r="W19" s="6"/>
      <c r="X19" s="6"/>
      <c r="Y19" s="6"/>
      <c r="Z19" s="6"/>
      <c r="AA19" s="6"/>
    </row>
    <row r="20">
      <c r="A20" s="4" t="s">
        <v>35</v>
      </c>
      <c r="B20" s="4" t="s">
        <v>36</v>
      </c>
      <c r="C20" s="5">
        <v>4.0</v>
      </c>
      <c r="D20" s="4" t="s">
        <v>47</v>
      </c>
      <c r="E20" s="4">
        <v>2.0</v>
      </c>
      <c r="F20" s="4">
        <v>1.0</v>
      </c>
      <c r="G20" s="4">
        <v>58367.0</v>
      </c>
      <c r="H20" s="4">
        <v>58367.0</v>
      </c>
      <c r="I20" s="4">
        <v>0.0</v>
      </c>
      <c r="J20" s="4">
        <v>116734.0</v>
      </c>
      <c r="K20" s="4">
        <v>58367.0</v>
      </c>
      <c r="L20" s="4">
        <v>58367.0</v>
      </c>
      <c r="M20" s="4">
        <v>0.0</v>
      </c>
      <c r="N20" s="4">
        <v>58367.0</v>
      </c>
      <c r="O20" s="4">
        <v>58367.0</v>
      </c>
      <c r="P20" s="4">
        <v>58367.0</v>
      </c>
      <c r="Q20" s="4">
        <v>58367.0</v>
      </c>
      <c r="R20" s="4">
        <v>0.0</v>
      </c>
      <c r="S20" s="6"/>
      <c r="T20" s="6"/>
      <c r="U20" s="6"/>
      <c r="V20" s="6"/>
      <c r="W20" s="6"/>
      <c r="X20" s="6"/>
      <c r="Y20" s="6"/>
      <c r="Z20" s="6"/>
      <c r="AA20" s="6"/>
    </row>
    <row r="21" ht="15.75" customHeight="1">
      <c r="A21" s="4" t="s">
        <v>31</v>
      </c>
      <c r="B21" s="4" t="s">
        <v>32</v>
      </c>
      <c r="C21" s="5">
        <v>4.0</v>
      </c>
      <c r="D21" s="4" t="s">
        <v>47</v>
      </c>
      <c r="E21" s="4">
        <v>1.0</v>
      </c>
      <c r="F21" s="4">
        <v>1.0</v>
      </c>
      <c r="G21" s="4">
        <v>72038.0</v>
      </c>
      <c r="H21" s="4">
        <v>72038.0</v>
      </c>
      <c r="I21" s="4">
        <v>0.0</v>
      </c>
      <c r="J21" s="4">
        <v>72038.0</v>
      </c>
      <c r="K21" s="4">
        <v>72038.0</v>
      </c>
      <c r="L21" s="4">
        <v>72038.0</v>
      </c>
      <c r="M21" s="4">
        <v>0.0</v>
      </c>
      <c r="N21" s="4">
        <v>72038.0</v>
      </c>
      <c r="O21" s="4">
        <v>72038.0</v>
      </c>
      <c r="P21" s="4">
        <v>72038.0</v>
      </c>
      <c r="Q21" s="4">
        <v>72038.0</v>
      </c>
      <c r="R21" s="4">
        <v>0.0</v>
      </c>
      <c r="S21" s="6"/>
      <c r="T21" s="6"/>
      <c r="U21" s="6"/>
      <c r="V21" s="6"/>
      <c r="W21" s="6"/>
      <c r="X21" s="6"/>
      <c r="Y21" s="6"/>
      <c r="Z21" s="6"/>
      <c r="AA21" s="6"/>
    </row>
    <row r="22" ht="15.75" customHeight="1">
      <c r="A22" s="4" t="s">
        <v>33</v>
      </c>
      <c r="B22" s="4" t="s">
        <v>34</v>
      </c>
      <c r="C22" s="5">
        <v>4.0</v>
      </c>
      <c r="D22" s="4" t="s">
        <v>47</v>
      </c>
      <c r="E22" s="4">
        <v>5.0</v>
      </c>
      <c r="F22" s="4">
        <v>5.0</v>
      </c>
      <c r="G22" s="4">
        <v>57238.0</v>
      </c>
      <c r="H22" s="4">
        <v>89283.0</v>
      </c>
      <c r="I22" s="4">
        <v>32045.0</v>
      </c>
      <c r="J22" s="4">
        <v>366403.0</v>
      </c>
      <c r="K22" s="4">
        <v>73280.6</v>
      </c>
      <c r="L22" s="4">
        <v>68610.0</v>
      </c>
      <c r="M22" s="4">
        <v>11658.09577246645</v>
      </c>
      <c r="N22" s="4">
        <v>57238.0</v>
      </c>
      <c r="O22" s="4">
        <v>57238.0</v>
      </c>
      <c r="P22" s="4">
        <v>67475.0</v>
      </c>
      <c r="Q22" s="4">
        <v>83797.0</v>
      </c>
      <c r="R22" s="4">
        <v>16322.0</v>
      </c>
      <c r="S22" s="6"/>
      <c r="T22" s="6"/>
      <c r="U22" s="6"/>
      <c r="V22" s="6"/>
      <c r="W22" s="6"/>
      <c r="X22" s="6"/>
      <c r="Y22" s="6"/>
      <c r="Z22" s="6"/>
      <c r="AA22" s="6"/>
    </row>
    <row r="23" ht="15.75" customHeight="1">
      <c r="A23" s="4" t="s">
        <v>37</v>
      </c>
      <c r="B23" s="4" t="s">
        <v>38</v>
      </c>
      <c r="C23" s="5">
        <v>4.0</v>
      </c>
      <c r="D23" s="4" t="s">
        <v>47</v>
      </c>
      <c r="E23" s="4">
        <v>1.0</v>
      </c>
      <c r="F23" s="4">
        <v>1.0</v>
      </c>
      <c r="G23" s="4">
        <v>79818.0</v>
      </c>
      <c r="H23" s="4">
        <v>79818.0</v>
      </c>
      <c r="I23" s="4">
        <v>0.0</v>
      </c>
      <c r="J23" s="4">
        <v>79818.0</v>
      </c>
      <c r="K23" s="4">
        <v>79818.0</v>
      </c>
      <c r="L23" s="4">
        <v>79818.0</v>
      </c>
      <c r="M23" s="4">
        <v>0.0</v>
      </c>
      <c r="N23" s="4">
        <v>79818.0</v>
      </c>
      <c r="O23" s="4">
        <v>79818.0</v>
      </c>
      <c r="P23" s="4">
        <v>79818.0</v>
      </c>
      <c r="Q23" s="4">
        <v>79818.0</v>
      </c>
      <c r="R23" s="4">
        <v>0.0</v>
      </c>
      <c r="S23" s="6"/>
      <c r="T23" s="6"/>
      <c r="U23" s="6"/>
      <c r="V23" s="6"/>
      <c r="W23" s="6"/>
      <c r="X23" s="6"/>
      <c r="Y23" s="6"/>
      <c r="Z23" s="6"/>
      <c r="AA23" s="6"/>
    </row>
    <row r="24" ht="15.75" customHeight="1">
      <c r="A24" s="4" t="s">
        <v>39</v>
      </c>
      <c r="B24" s="4" t="s">
        <v>40</v>
      </c>
      <c r="C24" s="5">
        <v>4.0</v>
      </c>
      <c r="D24" s="4" t="s">
        <v>47</v>
      </c>
      <c r="E24" s="4">
        <v>2.0</v>
      </c>
      <c r="F24" s="4">
        <v>2.0</v>
      </c>
      <c r="G24" s="4">
        <v>85333.0</v>
      </c>
      <c r="H24" s="4">
        <v>88109.0</v>
      </c>
      <c r="I24" s="4">
        <v>2776.0</v>
      </c>
      <c r="J24" s="4">
        <v>173442.0</v>
      </c>
      <c r="K24" s="4">
        <v>86721.0</v>
      </c>
      <c r="L24" s="4">
        <v>86721.0</v>
      </c>
      <c r="M24" s="4">
        <v>1388.0</v>
      </c>
      <c r="N24" s="4">
        <v>85333.0</v>
      </c>
      <c r="O24" s="4">
        <v>85333.0</v>
      </c>
      <c r="P24" s="4">
        <v>85333.0</v>
      </c>
      <c r="Q24" s="4">
        <v>88109.0</v>
      </c>
      <c r="R24" s="4">
        <v>2776.0</v>
      </c>
      <c r="S24" s="6"/>
      <c r="T24" s="6"/>
      <c r="U24" s="6"/>
      <c r="V24" s="6"/>
      <c r="W24" s="6"/>
      <c r="X24" s="6"/>
      <c r="Y24" s="6"/>
      <c r="Z24" s="6"/>
      <c r="AA24" s="6"/>
    </row>
    <row r="25" ht="15.75" customHeight="1">
      <c r="A25" s="4" t="s">
        <v>28</v>
      </c>
      <c r="B25" s="4" t="s">
        <v>29</v>
      </c>
      <c r="C25" s="5">
        <v>5.0</v>
      </c>
      <c r="D25" s="4" t="s">
        <v>48</v>
      </c>
      <c r="E25" s="4">
        <v>7.0</v>
      </c>
      <c r="F25" s="4">
        <v>7.0</v>
      </c>
      <c r="G25" s="4">
        <v>98912.0</v>
      </c>
      <c r="H25" s="4">
        <v>103198.0</v>
      </c>
      <c r="I25" s="4">
        <v>4286.0</v>
      </c>
      <c r="J25" s="4">
        <v>714578.0</v>
      </c>
      <c r="K25" s="4">
        <v>102082.5714285714</v>
      </c>
      <c r="L25" s="4">
        <v>102632.0</v>
      </c>
      <c r="M25" s="4">
        <v>1427.241480933748</v>
      </c>
      <c r="N25" s="4">
        <v>98912.0</v>
      </c>
      <c r="O25" s="4">
        <v>98912.0</v>
      </c>
      <c r="P25" s="4">
        <v>101912.0</v>
      </c>
      <c r="Q25" s="4">
        <v>103006.0</v>
      </c>
      <c r="R25" s="4">
        <v>1094.0</v>
      </c>
      <c r="S25" s="6"/>
      <c r="T25" s="6"/>
      <c r="U25" s="6"/>
      <c r="V25" s="6"/>
      <c r="W25" s="6"/>
      <c r="X25" s="6"/>
      <c r="Y25" s="6"/>
      <c r="Z25" s="6"/>
      <c r="AA25" s="6"/>
    </row>
    <row r="26" ht="15.75" customHeight="1">
      <c r="A26" s="4" t="s">
        <v>33</v>
      </c>
      <c r="B26" s="4" t="s">
        <v>34</v>
      </c>
      <c r="C26" s="5">
        <v>5.0</v>
      </c>
      <c r="D26" s="4" t="s">
        <v>48</v>
      </c>
      <c r="E26" s="4">
        <v>841.0</v>
      </c>
      <c r="F26" s="4">
        <v>817.0</v>
      </c>
      <c r="G26" s="4">
        <v>98457.0</v>
      </c>
      <c r="H26" s="4">
        <v>103811.0</v>
      </c>
      <c r="I26" s="4">
        <v>5354.0</v>
      </c>
      <c r="J26" s="4">
        <v>8.6361351E7</v>
      </c>
      <c r="K26" s="4">
        <v>102688.8834720571</v>
      </c>
      <c r="L26" s="4">
        <v>103020.0</v>
      </c>
      <c r="M26" s="4">
        <v>1109.558067042118</v>
      </c>
      <c r="N26" s="4">
        <v>98457.0</v>
      </c>
      <c r="O26" s="4">
        <v>101903.0</v>
      </c>
      <c r="P26" s="4">
        <v>102488.0</v>
      </c>
      <c r="Q26" s="4">
        <v>103435.0</v>
      </c>
      <c r="R26" s="4">
        <v>947.0</v>
      </c>
      <c r="S26" s="6"/>
      <c r="T26" s="6"/>
      <c r="U26" s="6"/>
      <c r="V26" s="6"/>
      <c r="W26" s="6"/>
      <c r="X26" s="6"/>
      <c r="Y26" s="6"/>
      <c r="Z26" s="6"/>
      <c r="AA26" s="6"/>
    </row>
    <row r="27" ht="15.75" customHeight="1">
      <c r="A27" s="4" t="s">
        <v>35</v>
      </c>
      <c r="B27" s="4" t="s">
        <v>36</v>
      </c>
      <c r="C27" s="5">
        <v>5.0</v>
      </c>
      <c r="D27" s="4" t="s">
        <v>48</v>
      </c>
      <c r="E27" s="4">
        <v>12.0</v>
      </c>
      <c r="F27" s="4">
        <v>12.0</v>
      </c>
      <c r="G27" s="4">
        <v>101899.0</v>
      </c>
      <c r="H27" s="4">
        <v>102665.0</v>
      </c>
      <c r="I27" s="4">
        <v>766.0</v>
      </c>
      <c r="J27" s="4">
        <v>1230473.0</v>
      </c>
      <c r="K27" s="4">
        <v>102539.4166666667</v>
      </c>
      <c r="L27" s="4">
        <v>102593.5</v>
      </c>
      <c r="M27" s="4">
        <v>202.6530114643144</v>
      </c>
      <c r="N27" s="4">
        <v>101899.0</v>
      </c>
      <c r="O27" s="4">
        <v>101899.0</v>
      </c>
      <c r="P27" s="4">
        <v>102524.0</v>
      </c>
      <c r="Q27" s="4">
        <v>102654.5</v>
      </c>
      <c r="R27" s="4">
        <v>130.5</v>
      </c>
      <c r="S27" s="6"/>
      <c r="T27" s="6"/>
      <c r="U27" s="6"/>
      <c r="V27" s="6"/>
      <c r="W27" s="6"/>
      <c r="X27" s="6"/>
      <c r="Y27" s="6"/>
      <c r="Z27" s="6"/>
      <c r="AA27" s="6"/>
    </row>
    <row r="28" ht="15.75" customHeight="1">
      <c r="A28" s="4" t="s">
        <v>31</v>
      </c>
      <c r="B28" s="4" t="s">
        <v>32</v>
      </c>
      <c r="C28" s="5">
        <v>5.0</v>
      </c>
      <c r="D28" s="4" t="s">
        <v>48</v>
      </c>
      <c r="E28" s="4">
        <v>20.0</v>
      </c>
      <c r="F28" s="4">
        <v>20.0</v>
      </c>
      <c r="G28" s="4">
        <v>98392.0</v>
      </c>
      <c r="H28" s="4">
        <v>103036.0</v>
      </c>
      <c r="I28" s="4">
        <v>4644.0</v>
      </c>
      <c r="J28" s="4">
        <v>2038704.0</v>
      </c>
      <c r="K28" s="4">
        <v>101935.2</v>
      </c>
      <c r="L28" s="4">
        <v>102305.5</v>
      </c>
      <c r="M28" s="4">
        <v>932.6031095809191</v>
      </c>
      <c r="N28" s="4">
        <v>98392.0</v>
      </c>
      <c r="O28" s="4">
        <v>98392.0</v>
      </c>
      <c r="P28" s="4">
        <v>101798.5</v>
      </c>
      <c r="Q28" s="4">
        <v>102310.5</v>
      </c>
      <c r="R28" s="4">
        <v>512.0</v>
      </c>
      <c r="S28" s="6"/>
      <c r="T28" s="6"/>
      <c r="U28" s="6"/>
      <c r="V28" s="6"/>
      <c r="W28" s="6"/>
      <c r="X28" s="6"/>
      <c r="Y28" s="6"/>
      <c r="Z28" s="6"/>
      <c r="AA28" s="6"/>
    </row>
    <row r="29" ht="15.75" customHeight="1">
      <c r="A29" s="4" t="s">
        <v>42</v>
      </c>
      <c r="B29" s="4" t="s">
        <v>43</v>
      </c>
      <c r="C29" s="5">
        <v>5.0</v>
      </c>
      <c r="D29" s="4" t="s">
        <v>48</v>
      </c>
      <c r="E29" s="4">
        <v>1.0</v>
      </c>
      <c r="F29" s="4">
        <v>1.0</v>
      </c>
      <c r="G29" s="4">
        <v>103332.0</v>
      </c>
      <c r="H29" s="4">
        <v>103332.0</v>
      </c>
      <c r="I29" s="4">
        <v>0.0</v>
      </c>
      <c r="J29" s="4">
        <v>103332.0</v>
      </c>
      <c r="K29" s="4">
        <v>103332.0</v>
      </c>
      <c r="L29" s="4">
        <v>103332.0</v>
      </c>
      <c r="M29" s="4">
        <v>0.0</v>
      </c>
      <c r="N29" s="4">
        <v>103332.0</v>
      </c>
      <c r="O29" s="4">
        <v>103332.0</v>
      </c>
      <c r="P29" s="4">
        <v>103332.0</v>
      </c>
      <c r="Q29" s="4">
        <v>103332.0</v>
      </c>
      <c r="R29" s="4">
        <v>0.0</v>
      </c>
      <c r="S29" s="6"/>
      <c r="T29" s="6"/>
      <c r="U29" s="6"/>
      <c r="V29" s="6"/>
      <c r="W29" s="6"/>
      <c r="X29" s="6"/>
      <c r="Y29" s="6"/>
      <c r="Z29" s="6"/>
      <c r="AA29" s="6"/>
    </row>
    <row r="30" ht="15.75" customHeight="1">
      <c r="A30" s="4" t="s">
        <v>39</v>
      </c>
      <c r="B30" s="4" t="s">
        <v>40</v>
      </c>
      <c r="C30" s="5">
        <v>5.0</v>
      </c>
      <c r="D30" s="4" t="s">
        <v>48</v>
      </c>
      <c r="E30" s="4">
        <v>1.0</v>
      </c>
      <c r="F30" s="4">
        <v>1.0</v>
      </c>
      <c r="G30" s="4">
        <v>101384.0</v>
      </c>
      <c r="H30" s="4">
        <v>101384.0</v>
      </c>
      <c r="I30" s="4">
        <v>0.0</v>
      </c>
      <c r="J30" s="4">
        <v>101384.0</v>
      </c>
      <c r="K30" s="4">
        <v>101384.0</v>
      </c>
      <c r="L30" s="4">
        <v>101384.0</v>
      </c>
      <c r="M30" s="4">
        <v>0.0</v>
      </c>
      <c r="N30" s="4">
        <v>101384.0</v>
      </c>
      <c r="O30" s="4">
        <v>101384.0</v>
      </c>
      <c r="P30" s="4">
        <v>101384.0</v>
      </c>
      <c r="Q30" s="4">
        <v>101384.0</v>
      </c>
      <c r="R30" s="4">
        <v>0.0</v>
      </c>
      <c r="S30" s="6"/>
      <c r="T30" s="6"/>
      <c r="U30" s="6"/>
      <c r="V30" s="6"/>
      <c r="W30" s="6"/>
      <c r="X30" s="6"/>
      <c r="Y30" s="6"/>
      <c r="Z30" s="6"/>
      <c r="AA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E74F2CC-6CE4-43BA-9097-6264B7E18049}" filter="1" showAutoFilter="1">
      <autoFilter ref="$A$1:$AA$30"/>
      <extLst>
        <ext uri="GoogleSheetsCustomDataVersion1">
          <go:sheetsCustomData xmlns:go="http://customooxmlschemas.google.com/" filterViewId="1948198714"/>
        </ext>
      </extLst>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7.25"/>
  </cols>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75"/>
  </cols>
  <sheetData>
    <row r="1">
      <c r="A1" s="1" t="s">
        <v>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