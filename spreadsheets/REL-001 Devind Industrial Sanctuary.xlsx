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-001 Devind Industiral Sanct" sheetId="1" r:id="rId4"/>
    <sheet state="visible" name="Sanctuary Projects by Acreage" sheetId="2" r:id="rId5"/>
    <sheet state="visible" name="Data Center Acreage" sheetId="3" r:id="rId6"/>
    <sheet state="visible" name="Infrastructure Acreage" sheetId="4" r:id="rId7"/>
    <sheet state="visible" name="Acreage by Analysis Class" sheetId="5" r:id="rId8"/>
    <sheet state="visible" name="Findings" sheetId="6" r:id="rId9"/>
  </sheets>
  <definedNames>
    <definedName hidden="1" localSheetId="0" name="Z_698FF218_C35D_4404_BA40_732FBC964FAA_.wvu.FilterData">'REL-001 Devind Industiral Sanct'!$A$1:$BW$24</definedName>
  </definedNames>
  <calcPr/>
  <customWorkbookViews>
    <customWorkbookView activeSheetId="0" maximized="1" windowHeight="0" windowWidth="0" guid="{698FF218-C35D-4404-BA40-732FBC964FAA}" name="Table1 filter view"/>
  </customWorkbookViews>
  <pivotCaches>
    <pivotCache cacheId="0" r:id="rId10"/>
    <pivotCache cacheId="1" r:id="rId11"/>
  </pivotCaches>
  <extLst>
    <ext uri="GoogleSheetsCustomDataVersion2">
      <go:sheetsCustomData xmlns:go="http://customooxmlschemas.google.com/" r:id="rId12" roundtripDataChecksum="QGn4dJGerV5mUVZ9ZRzaWhxM4SVSOCXQE73rMED7NgU="/>
    </ext>
  </extLst>
</workbook>
</file>

<file path=xl/sharedStrings.xml><?xml version="1.0" encoding="utf-8"?>
<sst xmlns="http://schemas.openxmlformats.org/spreadsheetml/2006/main" count="1115" uniqueCount="331">
  <si>
    <t>fid</t>
  </si>
  <si>
    <t>OBJECTID</t>
  </si>
  <si>
    <t>Analysis_Class</t>
  </si>
  <si>
    <t>NAME</t>
  </si>
  <si>
    <t>PARENT_AS_BUILT</t>
  </si>
  <si>
    <t>STORM_AS_BUILT</t>
  </si>
  <si>
    <t>SANITARY_AS_BUILT</t>
  </si>
  <si>
    <t>TRANS_AS_BUILT</t>
  </si>
  <si>
    <t>WATER_AS_BUILT</t>
  </si>
  <si>
    <t>FIBER_AS_BUILT</t>
  </si>
  <si>
    <t>STREET_LIGHT_AS_BUILT</t>
  </si>
  <si>
    <t>SIGNAL_AS_BUILT</t>
  </si>
  <si>
    <t>SIGN_AS_BUILT</t>
  </si>
  <si>
    <t>LANDSCAPE_AS_BUILT</t>
  </si>
  <si>
    <t>PERMIT_NUMBER</t>
  </si>
  <si>
    <t>AGENCY</t>
  </si>
  <si>
    <t>AGENCY_LINK</t>
  </si>
  <si>
    <t>PERMIT_CREATE_DATE</t>
  </si>
  <si>
    <t>ANT_START_DATE</t>
  </si>
  <si>
    <t>ANT_COMP_DATE</t>
  </si>
  <si>
    <t>STATUS_CHANGE_DATE</t>
  </si>
  <si>
    <t>WARRANTY_START_DATE</t>
  </si>
  <si>
    <t>WARRANTY_END_DATE</t>
  </si>
  <si>
    <t>PROJECT_STATUS</t>
  </si>
  <si>
    <t>PROJECT_TYPE</t>
  </si>
  <si>
    <t>PROJECT_DESCRIPTION</t>
  </si>
  <si>
    <t>PROJECT_PROGRAM</t>
  </si>
  <si>
    <t>WORK_CATEGORY</t>
  </si>
  <si>
    <t>COMMENTS</t>
  </si>
  <si>
    <t>IMPERVIOUS_SURFACE</t>
  </si>
  <si>
    <t>ENGINEER</t>
  </si>
  <si>
    <t>DEVELOPER</t>
  </si>
  <si>
    <t>Tracking_CreateID</t>
  </si>
  <si>
    <t>UTC_CreateDate</t>
  </si>
  <si>
    <t>Tracking_EditID</t>
  </si>
  <si>
    <t>UTC_EditDate</t>
  </si>
  <si>
    <t>GlobalID</t>
  </si>
  <si>
    <t>Shape__Area</t>
  </si>
  <si>
    <t>Shape__Length</t>
  </si>
  <si>
    <t>PUBLIC_ENGAGEMENT</t>
  </si>
  <si>
    <t>PUBLIC_FACING</t>
  </si>
  <si>
    <t>SITE_ADDRESS</t>
  </si>
  <si>
    <t>PW_INSPECTOR</t>
  </si>
  <si>
    <t>GEOMETRY_REPAIRED</t>
  </si>
  <si>
    <t>GEOMETRY_EMPTY_QA_FLAG</t>
  </si>
  <si>
    <t>GEOMETRY_QA_FLAG</t>
  </si>
  <si>
    <t>OBJECTID_DUPLICATE_QA_FLAG</t>
  </si>
  <si>
    <t>GLOBALID_DUPLICATE_QA_FLAG</t>
  </si>
  <si>
    <t>DATE_ORDER_QA_FLAG</t>
  </si>
  <si>
    <t>AGENCY_LABEL</t>
  </si>
  <si>
    <t>PROJECT_STATUS_LABEL</t>
  </si>
  <si>
    <t>PROJECT_TYPE_LABEL</t>
  </si>
  <si>
    <t>PROJECT_PROGRAM_LABEL</t>
  </si>
  <si>
    <t>WORK_CATEGORY_LABEL</t>
  </si>
  <si>
    <t>PUBLIC_FACING_LABEL</t>
  </si>
  <si>
    <t>PW_INSPECTOR_LABEL</t>
  </si>
  <si>
    <t>WATER_INSPECTOR_LABEL</t>
  </si>
  <si>
    <t>fid_2</t>
  </si>
  <si>
    <t>GlobalID_2</t>
  </si>
  <si>
    <t>Tracking_CreateID_2</t>
  </si>
  <si>
    <t>UTC_CreateDate_2</t>
  </si>
  <si>
    <t>Tracking_EditID_2</t>
  </si>
  <si>
    <t>UTC_EditDate_2</t>
  </si>
  <si>
    <t>OBJECTID_1</t>
  </si>
  <si>
    <t>DESCRIPTIO</t>
  </si>
  <si>
    <t>Shape__Area_2</t>
  </si>
  <si>
    <t>Shape__Length_2</t>
  </si>
  <si>
    <t>GEOMETRY_REPAIRED_2</t>
  </si>
  <si>
    <t>GEOMETRY_EMPTY_QA_FLAG_2</t>
  </si>
  <si>
    <t>GEOMETRY_QA_FLAG_2</t>
  </si>
  <si>
    <t>OBJECTID_DUPLICATE_QA_FLAG_2</t>
  </si>
  <si>
    <t>GLOBALID_DUPLICATE_QA_FLAG_2</t>
  </si>
  <si>
    <t>NEGATIVE_AREA_QA_FLAG</t>
  </si>
  <si>
    <t>DESCRIPTIO_LABEL</t>
  </si>
  <si>
    <t>INTERSECT_ACRES</t>
  </si>
  <si>
    <t>Other</t>
  </si>
  <si>
    <t>Sewell Corporate Park Phase II PIP</t>
  </si>
  <si>
    <t>PIP-0001-26</t>
  </si>
  <si>
    <t>DEV</t>
  </si>
  <si>
    <t>2026-01-09T00:00:00Z</t>
  </si>
  <si>
    <t>1899-12-30T00:00:00Z</t>
  </si>
  <si>
    <t>2026-05-12T00:00:00Z</t>
  </si>
  <si>
    <t>CON</t>
  </si>
  <si>
    <t>DEVIND</t>
  </si>
  <si>
    <t>Improvements include sidewalk/planter strip/cycle track frontage improvements, a public sanitary line on private property in an easement, some water connections, and a driveway connection.</t>
  </si>
  <si>
    <t>DEV_IND</t>
  </si>
  <si>
    <t>AKS</t>
  </si>
  <si>
    <t>Trammell Crow</t>
  </si>
  <si>
    <t>IVESY</t>
  </si>
  <si>
    <t>2026-03-05T18:32:53Z</t>
  </si>
  <si>
    <t>MCCKE</t>
  </si>
  <si>
    <t>2026-06-09T22:22:20Z</t>
  </si>
  <si>
    <t>{632E558F-B432-4A99-AFF2-CE56C0FD01B9}</t>
  </si>
  <si>
    <t>Yes</t>
  </si>
  <si>
    <t>JV</t>
  </si>
  <si>
    <t>false</t>
  </si>
  <si>
    <t>Developer</t>
  </si>
  <si>
    <t>In Construction</t>
  </si>
  <si>
    <t>Joshua Vanderzanden</t>
  </si>
  <si>
    <t>{D720E694-2055-49C8-996B-E0E307C65EE0}</t>
  </si>
  <si>
    <t>LACSH</t>
  </si>
  <si>
    <t>2026-07-27T23:25:00Z</t>
  </si>
  <si>
    <t>I-S</t>
  </si>
  <si>
    <t>Industrial Sanctuary</t>
  </si>
  <si>
    <t>Infrastructure</t>
  </si>
  <si>
    <t>DSV Logistics Stormline</t>
  </si>
  <si>
    <t>PIP-0010-26</t>
  </si>
  <si>
    <t>2026-05-15T00:00:00Z</t>
  </si>
  <si>
    <t>REV</t>
  </si>
  <si>
    <t>Four driveway approaches and two outfalls to the regional pond</t>
  </si>
  <si>
    <t>Mackenzie</t>
  </si>
  <si>
    <t>DSV Real Estate Oregon, LLC</t>
  </si>
  <si>
    <t>2026-05-26T16:19:25Z</t>
  </si>
  <si>
    <t>2026-06-26T15:33:59Z</t>
  </si>
  <si>
    <t>{B08928FA-D019-4EF5-BB32-9809DBDBEF10}</t>
  </si>
  <si>
    <t>5775 NE 26TH CT</t>
  </si>
  <si>
    <t>In Review</t>
  </si>
  <si>
    <t>Data Center</t>
  </si>
  <si>
    <t>STACK POR03G</t>
  </si>
  <si>
    <t>PIP-0015-23</t>
  </si>
  <si>
    <t>2023-06-28T00:00:00Z</t>
  </si>
  <si>
    <t>2024-09-28T00:00:00Z</t>
  </si>
  <si>
    <t>MCRGA</t>
  </si>
  <si>
    <t>2023-07-28T21:57:35Z</t>
  </si>
  <si>
    <t>2026-04-14T17:07:36Z</t>
  </si>
  <si>
    <t>{8E9D1C53-CBF7-4E15-B140-AC2D0F5DF5C8}</t>
  </si>
  <si>
    <t>QTS Data Centers FB2</t>
  </si>
  <si>
    <t>P2423</t>
  </si>
  <si>
    <t>STMP2423</t>
  </si>
  <si>
    <t>SANP2423</t>
  </si>
  <si>
    <t>WTRP2423</t>
  </si>
  <si>
    <t>FIBP2423</t>
  </si>
  <si>
    <t>STLP2423</t>
  </si>
  <si>
    <t>SGNP2423</t>
  </si>
  <si>
    <t>LANP2423</t>
  </si>
  <si>
    <t>PIP-0047-21</t>
  </si>
  <si>
    <t>2021-10-05T00:00:00Z</t>
  </si>
  <si>
    <t>2024-07-24T00:00:00Z</t>
  </si>
  <si>
    <t>2024-06-28T00:00:00Z</t>
  </si>
  <si>
    <t>WARR_1YR</t>
  </si>
  <si>
    <t>NOHI</t>
  </si>
  <si>
    <t>KPFF: Randy Evans / randy.evans@kpff.com / (808) 757-7814</t>
  </si>
  <si>
    <t>KPFF</t>
  </si>
  <si>
    <t>QTS</t>
  </si>
  <si>
    <t>ROADS</t>
  </si>
  <si>
    <t>2021-11-16T14:42:15Z</t>
  </si>
  <si>
    <t>{9BBDF68F-99CF-4601-8B15-135B617A38D4}</t>
  </si>
  <si>
    <t>true</t>
  </si>
  <si>
    <t>North Hillsboro Industrial Tech Park</t>
  </si>
  <si>
    <t>HCP PIP L Vegetated Corridor Mitigation</t>
  </si>
  <si>
    <t>PIP-0035-24</t>
  </si>
  <si>
    <t>2024-10-29T00:00:00Z</t>
  </si>
  <si>
    <t>2025-07-09T00:00:00Z</t>
  </si>
  <si>
    <t>SANSTORM_IMP</t>
  </si>
  <si>
    <t>2024-12-06T23:38:37Z</t>
  </si>
  <si>
    <t>{356B66BA-D47B-4852-9118-89D19F86BFF4}</t>
  </si>
  <si>
    <t>Sanitary Sewer and Stormwater Improvements</t>
  </si>
  <si>
    <t>DLR PDX12 Data Center</t>
  </si>
  <si>
    <t>P2221</t>
  </si>
  <si>
    <t>STMP2221</t>
  </si>
  <si>
    <t>WTRP2221</t>
  </si>
  <si>
    <t>STLP2221</t>
  </si>
  <si>
    <t>SGNP2221</t>
  </si>
  <si>
    <t>LANP2221</t>
  </si>
  <si>
    <t>PIP-0031-20</t>
  </si>
  <si>
    <t>2020-07-13T00:00:00Z</t>
  </si>
  <si>
    <t>2024-04-29T00:00:00Z</t>
  </si>
  <si>
    <t>2022-12-05T00:00:00Z</t>
  </si>
  <si>
    <t>2023-12-05T00:00:00Z</t>
  </si>
  <si>
    <t>Navix: Yong Fook Ho / yho@navixeng.com / (503) 680-3954</t>
  </si>
  <si>
    <t>513014</t>
  </si>
  <si>
    <t>NAVIX</t>
  </si>
  <si>
    <t>BEAVER VENTURES, LLC</t>
  </si>
  <si>
    <t>{1D183868-5CDF-4A05-B74A-9E9700E04027}</t>
  </si>
  <si>
    <t>{5F931DB4-49A1-4431-90BD-477A3A15B525}</t>
  </si>
  <si>
    <t>2026-06-17T22:03:33Z</t>
  </si>
  <si>
    <t>Aligned Data Centers (PDX01)</t>
  </si>
  <si>
    <t>P2603</t>
  </si>
  <si>
    <t>STMP2603</t>
  </si>
  <si>
    <t>SANP2603</t>
  </si>
  <si>
    <t>WTRP2603</t>
  </si>
  <si>
    <t>FIBP2603</t>
  </si>
  <si>
    <t>STLP2603</t>
  </si>
  <si>
    <t>SGNP2603</t>
  </si>
  <si>
    <t>LANP2603</t>
  </si>
  <si>
    <t>PIP-0018-23</t>
  </si>
  <si>
    <t>2023-07-20T00:00:00Z</t>
  </si>
  <si>
    <t>2026-05-06T00:00:00Z</t>
  </si>
  <si>
    <t>NEW_ROAD</t>
  </si>
  <si>
    <t>HARPER HOFF PETERSON RIGHELLIS, INC</t>
  </si>
  <si>
    <t>ALIGNED DATA CENTERS (PDX) PROPCO, LLC</t>
  </si>
  <si>
    <t>2023-08-21T15:35:35Z</t>
  </si>
  <si>
    <t>2026-05-12T16:52:05Z</t>
  </si>
  <si>
    <t>{573DF999-408F-4861-B81A-0A923ED8C022}</t>
  </si>
  <si>
    <t>JH</t>
  </si>
  <si>
    <t>New Road Construction</t>
  </si>
  <si>
    <t>Joseph Hazel</t>
  </si>
  <si>
    <t>HCP PIP A Huffman West</t>
  </si>
  <si>
    <t>PIP-0026-24</t>
  </si>
  <si>
    <t>2024-10-03T00:00:00Z</t>
  </si>
  <si>
    <t>2025-06-18T00:00:00Z</t>
  </si>
  <si>
    <t>Trammell Crow Company</t>
  </si>
  <si>
    <t>2024-11-01T16:15:54Z</t>
  </si>
  <si>
    <t>{A7951A7F-E849-49BA-8E9F-A661FACC0F39}</t>
  </si>
  <si>
    <t>HCP PIP F NE Storm Pond 2</t>
  </si>
  <si>
    <t>PIP-0031-24</t>
  </si>
  <si>
    <t>2024-10-29T23:07:39Z</t>
  </si>
  <si>
    <t>{24BB7760-0EFA-429D-B4C1-4E893DCE478E}</t>
  </si>
  <si>
    <t>T5 Building 2</t>
  </si>
  <si>
    <t>P2430</t>
  </si>
  <si>
    <t>STMP2430</t>
  </si>
  <si>
    <t>SANP2430</t>
  </si>
  <si>
    <t>STLP2430</t>
  </si>
  <si>
    <t>SGNP2430</t>
  </si>
  <si>
    <t>LANP2430</t>
  </si>
  <si>
    <t>PIP-0052-22</t>
  </si>
  <si>
    <t>2022-08-26T00:00:00Z</t>
  </si>
  <si>
    <t>2025-01-16T00:00:00Z</t>
  </si>
  <si>
    <t>T5 @ PORTLAND IV LCC</t>
  </si>
  <si>
    <t>2022-11-04T20:02:45Z</t>
  </si>
  <si>
    <t>2026-08-07T15:19:16Z</t>
  </si>
  <si>
    <t>{C248B701-5228-4440-8D8D-C9C315E7370C}</t>
  </si>
  <si>
    <t>HCP PIP D Industrial Road</t>
  </si>
  <si>
    <t>PIP-0029-24</t>
  </si>
  <si>
    <t>2025-06-25T00:00:00Z</t>
  </si>
  <si>
    <t>2024-10-29T23:26:08Z</t>
  </si>
  <si>
    <t>{92F7663A-97B6-4F5B-867E-62C082B3C08E}</t>
  </si>
  <si>
    <t>HCP PIP E NW Storm Pond 1</t>
  </si>
  <si>
    <t>PIP-0030-24</t>
  </si>
  <si>
    <t>2026-08-17T00:00:00Z</t>
  </si>
  <si>
    <t>2024-10-29T23:19:28Z</t>
  </si>
  <si>
    <t>2026-08-18T16:02:23Z</t>
  </si>
  <si>
    <t>{CD914051-372D-4A8D-A86F-AA1B975692D2}</t>
  </si>
  <si>
    <t>HCP PIP G Sani Phase 2</t>
  </si>
  <si>
    <t>PIP-0032-24</t>
  </si>
  <si>
    <t>2025-05-22T00:00:00Z</t>
  </si>
  <si>
    <t>2024-10-29T22:52:12Z</t>
  </si>
  <si>
    <t>{AECF5DDC-339E-44F9-8A4E-FCA1F7149F48}</t>
  </si>
  <si>
    <t>HCP PIP I 25th Ave</t>
  </si>
  <si>
    <t>PIP-0034-24</t>
  </si>
  <si>
    <t>2024-10-17T00:00:00Z</t>
  </si>
  <si>
    <t>2025-08-22T00:00:00Z</t>
  </si>
  <si>
    <t>DEV_COM</t>
  </si>
  <si>
    <t>2024-10-28T19:53:10Z</t>
  </si>
  <si>
    <t>{395F07AB-CDDE-4282-B5F6-0AA823DCA7A0}</t>
  </si>
  <si>
    <t>Commercial Development</t>
  </si>
  <si>
    <t>QTS Data Center - DC2</t>
  </si>
  <si>
    <t>P2322</t>
  </si>
  <si>
    <t>STMP2322</t>
  </si>
  <si>
    <t>WTRP2322</t>
  </si>
  <si>
    <t>STLP2322</t>
  </si>
  <si>
    <t>SGNP2322</t>
  </si>
  <si>
    <t>LANP2322</t>
  </si>
  <si>
    <t>PIP-0043-20</t>
  </si>
  <si>
    <t>2020-12-15T00:00:00Z</t>
  </si>
  <si>
    <t>2023-09-21T00:00:00Z</t>
  </si>
  <si>
    <t>2023-10-13T00:00:00Z</t>
  </si>
  <si>
    <t>WARR_2YR</t>
  </si>
  <si>
    <t>KPFF: Nalini Chandran /nalini.chandran@kpff.com / (512) 461-5489</t>
  </si>
  <si>
    <t>.03</t>
  </si>
  <si>
    <t>KPFF CONSULTING ENGINEERS</t>
  </si>
  <si>
    <t>{605E2FB3-C939-463E-A18E-6E54DB17B194}</t>
  </si>
  <si>
    <t>HCP PIP B JSR Curb and Sidewalk</t>
  </si>
  <si>
    <t>PIP-0027-24</t>
  </si>
  <si>
    <t>2025-06-12T00:00:00Z</t>
  </si>
  <si>
    <t>{40C71E94-35FC-45FB-ADEA-850B646581ED}</t>
  </si>
  <si>
    <t>Starr Blvd Half-Street Improvements - QTS Data Centers DC5</t>
  </si>
  <si>
    <t>P2438</t>
  </si>
  <si>
    <t>STMP2438</t>
  </si>
  <si>
    <t>SANP2438</t>
  </si>
  <si>
    <t>WTRP2438</t>
  </si>
  <si>
    <t>STLP2438</t>
  </si>
  <si>
    <t>SGNP2438</t>
  </si>
  <si>
    <t>LANP2438</t>
  </si>
  <si>
    <t>PIP-0028-22</t>
  </si>
  <si>
    <t>2022-04-04T00:00:00Z</t>
  </si>
  <si>
    <t>2025-01-24T00:00:00Z</t>
  </si>
  <si>
    <t>HALF_STREET</t>
  </si>
  <si>
    <t>2022-07-19T23:34:18Z</t>
  </si>
  <si>
    <t>{1F25C29B-E7C8-4DFA-8B72-BEECAE8CF43A}</t>
  </si>
  <si>
    <t>Half Street Improvement</t>
  </si>
  <si>
    <t>Starr - Meek Public Improvements</t>
  </si>
  <si>
    <t>PIP-0013-26</t>
  </si>
  <si>
    <t>2026-06-22T00:00:00Z</t>
  </si>
  <si>
    <t>Road widening water and lighting on both streets, storm water on Meek, off-site sanitary</t>
  </si>
  <si>
    <t>Scannell Properties</t>
  </si>
  <si>
    <t>2026-06-24T16:44:51Z</t>
  </si>
  <si>
    <t>{26B15C1F-E45F-468D-89A1-79084B8E24FA}</t>
  </si>
  <si>
    <t>STACK POR04 - Additional Water Line</t>
  </si>
  <si>
    <t>PIP-0064-22</t>
  </si>
  <si>
    <t>2022-12-02T00:00:00Z</t>
  </si>
  <si>
    <t>2024-10-31T00:00:00Z</t>
  </si>
  <si>
    <t>2023-01-11T22:21:57Z</t>
  </si>
  <si>
    <t>{35AE0014-B23A-4CDD-A55C-8438E3FF5DBB}</t>
  </si>
  <si>
    <t>KH</t>
  </si>
  <si>
    <t>Kenny Herrick</t>
  </si>
  <si>
    <t>HCP PIP H Sani Offsite Phase 1</t>
  </si>
  <si>
    <t>PIP-0033-24</t>
  </si>
  <si>
    <t>2025-04-30T00:00:00Z</t>
  </si>
  <si>
    <t>2024-11-19T17:15:29Z</t>
  </si>
  <si>
    <t>2026-07-07T16:01:31Z</t>
  </si>
  <si>
    <t>{FFACD4EF-6374-474C-88E5-A5A871E718FE}</t>
  </si>
  <si>
    <t>STACK POR03D</t>
  </si>
  <si>
    <t>PIP-0012-24</t>
  </si>
  <si>
    <t>2024-03-12T00:00:00Z</t>
  </si>
  <si>
    <t>2024-08-15T00:00:00Z</t>
  </si>
  <si>
    <t>Construction of data center building POR03D and associated site improvements</t>
  </si>
  <si>
    <t>Navix</t>
  </si>
  <si>
    <t>Stack Infrastructure</t>
  </si>
  <si>
    <t>2024-03-28T16:39:06Z</t>
  </si>
  <si>
    <t>{7DEF82BB-7660-4405-9A3B-2F0A6F5D6A72}</t>
  </si>
  <si>
    <t>HCP PIP N Huffman East Leg 2</t>
  </si>
  <si>
    <t>PIP-0011-26</t>
  </si>
  <si>
    <t>2026-06-03T00:00:00Z</t>
  </si>
  <si>
    <t>New road and storm water connection NE Sewell Ave to NE 30th Ave</t>
  </si>
  <si>
    <t>2026-06-09T21:15:22Z</t>
  </si>
  <si>
    <t>{3EEE2165-A963-4F8C-9002-31BB93042440}</t>
  </si>
  <si>
    <t>NE 30th Temporary Construction Access</t>
  </si>
  <si>
    <t>PIP-0015-26</t>
  </si>
  <si>
    <t>2026-06-30T00:00:00Z</t>
  </si>
  <si>
    <t>2026-08-13T00:00:00Z</t>
  </si>
  <si>
    <t>Reconstruct curb and gutter, concrete sidewalk, cycle track and landscaping for temp construction access</t>
  </si>
  <si>
    <t>Harper Houf Peterson Reighellis Inc.</t>
  </si>
  <si>
    <t>Aligned Data Centers</t>
  </si>
  <si>
    <t>2026-07-07T16:10:40Z</t>
  </si>
  <si>
    <t>2026-09-09T22:40:59Z</t>
  </si>
  <si>
    <t>{FDC646D8-993A-4F46-8D87-A35A3D456CFD}</t>
  </si>
  <si>
    <t>Sum of INTERSECT_ACRES</t>
  </si>
  <si>
    <t>Grand Total</t>
  </si>
  <si>
    <t>SUM of INTERSECT_ACRES</t>
  </si>
  <si>
    <t>Development activity within Hillsboro's Industrial Sanctuary reflects both major data-center investment and substantial supporting infrastructure development. Data-center and infrastructure projects together accounted for approximately 82% of measured project-boundary intersection acreage in the analyzed area, suggesting that industrial growth involves not only individual facilities but significant utility, transportation, stormwater and mitigation investment.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</si>
</sst>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EL-001 Devind Industiral San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Industrial Sanctuary Projects by Acreage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'Sanctuary Projects by Acreage'!$B$3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Pt>
            <c:idx val="12"/>
            <c:spPr>
              <a:solidFill>
                <a:schemeClr val="accent1"/>
              </a:solidFill>
            </c:spPr>
          </c:dPt>
          <c:dPt>
            <c:idx val="13"/>
            <c:spPr>
              <a:solidFill>
                <a:schemeClr val="accent2"/>
              </a:solidFill>
            </c:spPr>
          </c:dPt>
          <c:dPt>
            <c:idx val="14"/>
            <c:spPr>
              <a:solidFill>
                <a:schemeClr val="accent3"/>
              </a:solidFill>
            </c:spPr>
          </c:dPt>
          <c:dPt>
            <c:idx val="15"/>
            <c:spPr>
              <a:solidFill>
                <a:schemeClr val="accent4"/>
              </a:solidFill>
            </c:spPr>
          </c:dPt>
          <c:dPt>
            <c:idx val="16"/>
            <c:spPr>
              <a:solidFill>
                <a:schemeClr val="accent5"/>
              </a:solidFill>
            </c:spPr>
          </c:dPt>
          <c:dPt>
            <c:idx val="17"/>
            <c:spPr>
              <a:solidFill>
                <a:schemeClr val="accent6"/>
              </a:solidFill>
            </c:spPr>
          </c:dPt>
          <c:dPt>
            <c:idx val="18"/>
            <c:spPr>
              <a:solidFill>
                <a:schemeClr val="accent1"/>
              </a:solidFill>
            </c:spPr>
          </c:dPt>
          <c:dPt>
            <c:idx val="19"/>
            <c:spPr>
              <a:solidFill>
                <a:schemeClr val="accent2"/>
              </a:solidFill>
            </c:spPr>
          </c:dPt>
          <c:dPt>
            <c:idx val="20"/>
            <c:spPr>
              <a:solidFill>
                <a:schemeClr val="accent3"/>
              </a:solidFill>
            </c:spPr>
          </c:dPt>
          <c:dPt>
            <c:idx val="21"/>
            <c:spPr>
              <a:solidFill>
                <a:schemeClr val="accent4"/>
              </a:solidFill>
            </c:spPr>
          </c:dPt>
          <c:dPt>
            <c:idx val="22"/>
            <c:spPr>
              <a:solidFill>
                <a:schemeClr val="accent5"/>
              </a:solidFill>
            </c:spPr>
          </c:dPt>
          <c:dPt>
            <c:idx val="2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'Sanctuary Projects by Acreage'!$A$4:$A$27</c:f>
            </c:strRef>
          </c:cat>
          <c:val>
            <c:numRef>
              <c:f>'Sanctuary Projects by Acreage'!$B$4:$B$27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Industrial Sanctuary Acreage by Project Purpose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'Acreage by Analysis Class'!$A$3:$A$6</c:f>
            </c:strRef>
          </c:cat>
          <c:val>
            <c:numRef>
              <c:f>'Acreage by Analysis Class'!$B$3:$B$6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0</xdr:rowOff>
    </xdr:from>
    <xdr:ext cx="6877050" cy="5838825"/>
    <xdr:graphicFrame>
      <xdr:nvGraphicFramePr>
        <xdr:cNvPr id="184262168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0</xdr:rowOff>
    </xdr:from>
    <xdr:ext cx="8124825" cy="5029200"/>
    <xdr:graphicFrame>
      <xdr:nvGraphicFramePr>
        <xdr:cNvPr id="159025973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W24" sheet="REL-001 Devind Industiral Sanct"/>
  </cacheSource>
  <cacheFields>
    <cacheField name="fid" numFmtId="0">
      <sharedItems containsSemiMixedTypes="0" containsString="0" containsNumber="1" containsInteger="1">
        <n v="268.0"/>
        <n v="277.0"/>
        <n v="145.0"/>
        <n v="22.0"/>
        <n v="225.0"/>
        <n v="2.0"/>
        <n v="146.0"/>
        <n v="223.0"/>
        <n v="217.0"/>
        <n v="124.0"/>
        <n v="218.0"/>
        <n v="219.0"/>
        <n v="220.0"/>
        <n v="216.0"/>
        <n v="21.0"/>
        <n v="222.0"/>
        <n v="102.0"/>
        <n v="282.0"/>
        <n v="129.0"/>
        <n v="224.0"/>
        <n v="188.0"/>
        <n v="278.0"/>
        <n v="297.0"/>
      </sharedItems>
    </cacheField>
    <cacheField name="OBJECTID" numFmtId="0">
      <sharedItems containsSemiMixedTypes="0" containsString="0" containsNumber="1" containsInteger="1">
        <n v="2030.0"/>
        <n v="2277.0"/>
        <n v="1913.0"/>
        <n v="405.0"/>
        <n v="1964.0"/>
        <n v="12.0"/>
        <n v="1915.0"/>
        <n v="1962.0"/>
        <n v="1956.0"/>
        <n v="1049.0"/>
        <n v="1957.0"/>
        <n v="1958.0"/>
        <n v="1959.0"/>
        <n v="1955.0"/>
        <n v="356.0"/>
        <n v="1961.0"/>
        <n v="1030.0"/>
        <n v="2441.0"/>
        <n v="1863.0"/>
        <n v="1963.0"/>
        <n v="1942.0"/>
        <n v="2314.0"/>
        <n v="2491.0"/>
      </sharedItems>
    </cacheField>
    <cacheField name="Analysis_Class" numFmtId="0">
      <sharedItems>
        <s v="Other"/>
        <s v="Infrastructure"/>
        <s v="Data Center"/>
      </sharedItems>
    </cacheField>
    <cacheField name="NAME" numFmtId="0">
      <sharedItems>
        <s v="Sewell Corporate Park Phase II PIP"/>
        <s v="DSV Logistics Stormline"/>
        <s v="STACK POR03G"/>
        <s v="QTS Data Centers FB2"/>
        <s v="HCP PIP L Vegetated Corridor Mitigation"/>
        <s v="DLR PDX12 Data Center"/>
        <s v="Aligned Data Centers (PDX01)"/>
        <s v="HCP PIP A Huffman West"/>
        <s v="HCP PIP F NE Storm Pond 2"/>
        <s v="T5 Building 2"/>
        <s v="HCP PIP D Industrial Road"/>
        <s v="HCP PIP E NW Storm Pond 1"/>
        <s v="HCP PIP G Sani Phase 2"/>
        <s v="HCP PIP I 25th Ave"/>
        <s v="QTS Data Center - DC2"/>
        <s v="HCP PIP B JSR Curb and Sidewalk"/>
        <s v="Starr Blvd Half-Street Improvements - QTS Data Centers DC5"/>
        <s v="Starr - Meek Public Improvements"/>
        <s v="STACK POR04 - Additional Water Line"/>
        <s v="HCP PIP H Sani Offsite Phase 1"/>
        <s v="STACK POR03D"/>
        <s v="HCP PIP N Huffman East Leg 2"/>
        <s v="NE 30th Temporary Construction Access"/>
      </sharedItems>
    </cacheField>
    <cacheField name="PARENT_AS_BUILT" numFmtId="0">
      <sharedItems containsBlank="1">
        <m/>
        <s v="P2423"/>
        <s v="P2221"/>
        <s v="P2603"/>
        <s v="P2430"/>
        <s v="P2322"/>
        <s v="P2438"/>
      </sharedItems>
    </cacheField>
    <cacheField name="STORM_AS_BUILT" numFmtId="0">
      <sharedItems containsBlank="1">
        <m/>
        <s v="STMP2423"/>
        <s v="STMP2221"/>
        <s v="STMP2603"/>
        <s v="STMP2430"/>
        <s v="STMP2322"/>
        <s v="STMP2438"/>
      </sharedItems>
    </cacheField>
    <cacheField name="SANITARY_AS_BUILT" numFmtId="0">
      <sharedItems containsBlank="1">
        <m/>
        <s v="SANP2423"/>
        <s v="SANP2603"/>
        <s v="SANP2430"/>
        <s v="SANP2438"/>
      </sharedItems>
    </cacheField>
    <cacheField name="TRANS_AS_BUILT" numFmtId="0">
      <sharedItems containsBlank="1">
        <m/>
        <s v="P2423"/>
        <s v="P2221"/>
        <s v="P2603"/>
        <s v="P2430"/>
        <s v="P2322"/>
        <s v="P2438"/>
      </sharedItems>
    </cacheField>
    <cacheField name="WATER_AS_BUILT" numFmtId="0">
      <sharedItems containsBlank="1">
        <m/>
        <s v="WTRP2423"/>
        <s v="WTRP2221"/>
        <s v="WTRP2603"/>
        <s v="WTRP2322"/>
        <s v="WTRP2438"/>
      </sharedItems>
    </cacheField>
    <cacheField name="FIBER_AS_BUILT" numFmtId="0">
      <sharedItems containsBlank="1">
        <m/>
        <s v="FIBP2423"/>
        <s v="FIBP2603"/>
      </sharedItems>
    </cacheField>
    <cacheField name="STREET_LIGHT_AS_BUILT" numFmtId="0">
      <sharedItems containsBlank="1">
        <m/>
        <s v="STLP2423"/>
        <s v="STLP2221"/>
        <s v="STLP2603"/>
        <s v="STLP2430"/>
        <s v="STLP2322"/>
        <s v="STLP2438"/>
      </sharedItems>
    </cacheField>
    <cacheField name="SIGNAL_AS_BUILT" numFmtId="0">
      <sharedItems containsString="0" containsBlank="1">
        <m/>
      </sharedItems>
    </cacheField>
    <cacheField name="SIGN_AS_BUILT" numFmtId="0">
      <sharedItems containsBlank="1">
        <m/>
        <s v="SGNP2423"/>
        <s v="SGNP2221"/>
        <s v="SGNP2603"/>
        <s v="SGNP2430"/>
        <s v="SGNP2322"/>
        <s v="SGNP2438"/>
      </sharedItems>
    </cacheField>
    <cacheField name="LANDSCAPE_AS_BUILT" numFmtId="0">
      <sharedItems containsBlank="1">
        <m/>
        <s v="LANP2423"/>
        <s v="LANP2221"/>
        <s v="LANP2603"/>
        <s v="LANP2430"/>
        <s v="LANP2322"/>
        <s v="LANP2438"/>
      </sharedItems>
    </cacheField>
    <cacheField name="PERMIT_NUMBER" numFmtId="0">
      <sharedItems>
        <s v="PIP-0001-26"/>
        <s v="PIP-0010-26"/>
        <s v="PIP-0015-23"/>
        <s v="PIP-0047-21"/>
        <s v="PIP-0035-24"/>
        <s v="PIP-0031-20"/>
        <s v="PIP-0018-23"/>
        <s v="PIP-0026-24"/>
        <s v="PIP-0031-24"/>
        <s v="PIP-0052-22"/>
        <s v="PIP-0029-24"/>
        <s v="PIP-0030-24"/>
        <s v="PIP-0032-24"/>
        <s v="PIP-0034-24"/>
        <s v="PIP-0043-20"/>
        <s v="PIP-0027-24"/>
        <s v="PIP-0028-22"/>
        <s v="PIP-0013-26"/>
        <s v="PIP-0064-22"/>
        <s v="PIP-0033-24"/>
        <s v="PIP-0012-24"/>
        <s v="PIP-0011-26"/>
        <s v="PIP-0015-26"/>
      </sharedItems>
    </cacheField>
    <cacheField name="AGENCY" numFmtId="0">
      <sharedItems>
        <s v="DEV"/>
      </sharedItems>
    </cacheField>
    <cacheField name="AGENCY_LINK" numFmtId="0">
      <sharedItems containsString="0" containsBlank="1">
        <m/>
      </sharedItems>
    </cacheField>
    <cacheField name="PERMIT_CREATE_DATE" numFmtId="0">
      <sharedItems>
        <s v="2026-01-09T00:00:00Z"/>
        <s v="2026-05-15T00:00:00Z"/>
        <s v="2023-06-28T00:00:00Z"/>
        <s v="2021-10-05T00:00:00Z"/>
        <s v="2024-10-29T00:00:00Z"/>
        <s v="2020-07-13T00:00:00Z"/>
        <s v="2023-07-20T00:00:00Z"/>
        <s v="2024-10-03T00:00:00Z"/>
        <s v="2022-08-26T00:00:00Z"/>
        <s v="2024-10-17T00:00:00Z"/>
        <s v="2020-12-15T00:00:00Z"/>
        <s v="2022-04-04T00:00:00Z"/>
        <s v="2026-06-22T00:00:00Z"/>
        <s v="2022-12-02T00:00:00Z"/>
        <s v="2024-03-12T00:00:00Z"/>
        <s v="2026-06-03T00:00:00Z"/>
        <s v="2026-06-30T00:00:00Z"/>
      </sharedItems>
    </cacheField>
    <cacheField name="ANT_START_DATE" numFmtId="0">
      <sharedItems>
        <s v="1899-12-30T00:00:00Z"/>
      </sharedItems>
    </cacheField>
    <cacheField name="ANT_COMP_DATE" numFmtId="0">
      <sharedItems containsString="0" containsBlank="1">
        <m/>
      </sharedItems>
    </cacheField>
    <cacheField name="STATUS_CHANGE_DATE" numFmtId="0">
      <sharedItems>
        <s v="2026-05-12T00:00:00Z"/>
        <s v="2026-05-15T00:00:00Z"/>
        <s v="2024-09-28T00:00:00Z"/>
        <s v="2024-07-24T00:00:00Z"/>
        <s v="2025-07-09T00:00:00Z"/>
        <s v="2024-04-29T00:00:00Z"/>
        <s v="2026-05-06T00:00:00Z"/>
        <s v="2025-06-18T00:00:00Z"/>
        <s v="2025-01-16T00:00:00Z"/>
        <s v="2025-06-25T00:00:00Z"/>
        <s v="2026-08-17T00:00:00Z"/>
        <s v="2025-05-22T00:00:00Z"/>
        <s v="2025-08-22T00:00:00Z"/>
        <s v="2023-09-21T00:00:00Z"/>
        <s v="2025-06-12T00:00:00Z"/>
        <s v="2025-01-24T00:00:00Z"/>
        <s v="2026-06-22T00:00:00Z"/>
        <s v="2024-10-31T00:00:00Z"/>
        <s v="2025-04-30T00:00:00Z"/>
        <s v="2024-08-15T00:00:00Z"/>
        <s v="2026-06-03T00:00:00Z"/>
        <s v="2026-08-13T00:00:00Z"/>
      </sharedItems>
    </cacheField>
    <cacheField name="WARRANTY_START_DATE" numFmtId="0">
      <sharedItems containsBlank="1">
        <m/>
        <s v="2024-06-28T00:00:00Z"/>
        <s v="2022-12-05T00:00:00Z"/>
        <s v="2023-10-13T00:00:00Z"/>
      </sharedItems>
    </cacheField>
    <cacheField name="WARRANTY_END_DATE" numFmtId="0">
      <sharedItems containsBlank="1">
        <m/>
        <s v="2023-12-05T00:00:00Z"/>
      </sharedItems>
    </cacheField>
    <cacheField name="PROJECT_STATUS" numFmtId="0">
      <sharedItems>
        <s v="CON"/>
        <s v="REV"/>
        <s v="WARR_1YR"/>
        <s v="WARR_2YR"/>
      </sharedItems>
    </cacheField>
    <cacheField name="PROJECT_TYPE" numFmtId="0">
      <sharedItems>
        <s v="DEVIND"/>
      </sharedItems>
    </cacheField>
    <cacheField name="PROJECT_DESCRIPTION" numFmtId="0">
      <sharedItems containsBlank="1">
        <s v="Improvements include sidewalk/planter strip/cycle track frontage improvements, a public sanitary line on private property in an easement, some water connections, and a driveway connection."/>
        <s v="Four driveway approaches and two outfalls to the regional pond"/>
        <m/>
        <s v="Road widening water and lighting on both streets, storm water on Meek, off-site sanitary"/>
        <s v="Construction of data center building POR03D and associated site improvements"/>
        <s v="New road and storm water connection NE Sewell Ave to NE 30th Ave"/>
        <s v="Reconstruct curb and gutter, concrete sidewalk, cycle track and landscaping for temp construction access"/>
      </sharedItems>
    </cacheField>
    <cacheField name="PROJECT_PROGRAM" numFmtId="0">
      <sharedItems containsBlank="1">
        <m/>
        <s v="NOHI"/>
      </sharedItems>
    </cacheField>
    <cacheField name="WORK_CATEGORY" numFmtId="0">
      <sharedItems>
        <s v="DEV_IND"/>
        <s v="SANSTORM_IMP"/>
        <s v="NEW_ROAD"/>
        <s v="DEV_COM"/>
        <s v="HALF_STREET"/>
      </sharedItems>
    </cacheField>
    <cacheField name="COMMENTS" numFmtId="0">
      <sharedItems containsBlank="1">
        <m/>
        <s v="KPFF: Randy Evans / randy.evans@kpff.com / (808) 757-7814"/>
        <s v="Navix: Yong Fook Ho / yho@navixeng.com / (503) 680-3954"/>
        <s v="KPFF: Nalini Chandran /nalini.chandran@kpff.com / (512) 461-5489"/>
      </sharedItems>
    </cacheField>
    <cacheField name="IMPERVIOUS_SURFACE" numFmtId="0">
      <sharedItems containsBlank="1">
        <m/>
        <s v="513014"/>
        <s v=".03"/>
      </sharedItems>
    </cacheField>
    <cacheField name="ENGINEER" numFmtId="0">
      <sharedItems containsBlank="1">
        <s v="AKS"/>
        <s v="Mackenzie"/>
        <m/>
        <s v="KPFF"/>
        <s v="NAVIX"/>
        <s v="HARPER HOFF PETERSON RIGHELLIS, INC"/>
        <s v="KPFF CONSULTING ENGINEERS"/>
        <s v="Harper Houf Peterson Reighellis Inc."/>
      </sharedItems>
    </cacheField>
    <cacheField name="DEVELOPER" numFmtId="0">
      <sharedItems containsBlank="1">
        <s v="Trammell Crow"/>
        <s v="DSV Real Estate Oregon, LLC"/>
        <m/>
        <s v="QTS"/>
        <s v="BEAVER VENTURES, LLC"/>
        <s v="ALIGNED DATA CENTERS (PDX) PROPCO, LLC"/>
        <s v="Trammell Crow Company"/>
        <s v="T5 @ PORTLAND IV LCC"/>
        <s v="Scannell Properties"/>
        <s v="Stack Infrastructure"/>
        <s v="Aligned Data Centers"/>
      </sharedItems>
    </cacheField>
    <cacheField name="Tracking_CreateID" numFmtId="0">
      <sharedItems>
        <s v="IVESY"/>
        <s v="MCCKE"/>
        <s v="MCRGA"/>
        <s v="ROADS"/>
      </sharedItems>
    </cacheField>
    <cacheField name="UTC_CreateDate" numFmtId="0">
      <sharedItems>
        <s v="2026-03-05T18:32:53Z"/>
        <s v="2026-05-26T16:19:25Z"/>
        <s v="2023-07-28T21:57:35Z"/>
        <s v="2021-11-16T14:42:15Z"/>
        <s v="2024-12-06T23:38:37Z"/>
        <s v="2023-08-21T15:35:35Z"/>
        <s v="2024-11-01T16:15:54Z"/>
        <s v="2024-10-29T23:07:39Z"/>
        <s v="2022-11-04T20:02:45Z"/>
        <s v="2024-10-29T23:26:08Z"/>
        <s v="2024-10-29T23:19:28Z"/>
        <s v="2024-10-29T22:52:12Z"/>
        <s v="2024-10-28T19:53:10Z"/>
        <s v="2022-07-19T23:34:18Z"/>
        <s v="2026-06-24T16:44:51Z"/>
        <s v="2023-01-11T22:21:57Z"/>
        <s v="2024-11-19T17:15:29Z"/>
        <s v="2024-03-28T16:39:06Z"/>
        <s v="2026-06-09T21:15:22Z"/>
        <s v="2026-07-07T16:10:40Z"/>
      </sharedItems>
    </cacheField>
    <cacheField name="Tracking_EditID" numFmtId="0">
      <sharedItems>
        <s v="MCCKE"/>
      </sharedItems>
    </cacheField>
    <cacheField name="UTC_EditDate" numFmtId="0">
      <sharedItems>
        <s v="2026-06-09T22:22:20Z"/>
        <s v="2026-06-26T15:33:59Z"/>
        <s v="2026-04-14T17:07:36Z"/>
        <s v="2026-05-12T16:52:05Z"/>
        <s v="2026-08-07T15:19:16Z"/>
        <s v="2026-08-18T16:02:23Z"/>
        <s v="2026-07-07T16:01:31Z"/>
        <s v="2026-09-09T22:40:59Z"/>
      </sharedItems>
    </cacheField>
    <cacheField name="GlobalID" numFmtId="0">
      <sharedItems>
        <s v="{632E558F-B432-4A99-AFF2-CE56C0FD01B9}"/>
        <s v="{B08928FA-D019-4EF5-BB32-9809DBDBEF10}"/>
        <s v="{8E9D1C53-CBF7-4E15-B140-AC2D0F5DF5C8}"/>
        <s v="{9BBDF68F-99CF-4601-8B15-135B617A38D4}"/>
        <s v="{356B66BA-D47B-4852-9118-89D19F86BFF4}"/>
        <s v="{1D183868-5CDF-4A05-B74A-9E9700E04027}"/>
        <s v="{573DF999-408F-4861-B81A-0A923ED8C022}"/>
        <s v="{A7951A7F-E849-49BA-8E9F-A661FACC0F39}"/>
        <s v="{24BB7760-0EFA-429D-B4C1-4E893DCE478E}"/>
        <s v="{C248B701-5228-4440-8D8D-C9C315E7370C}"/>
        <s v="{92F7663A-97B6-4F5B-867E-62C082B3C08E}"/>
        <s v="{CD914051-372D-4A8D-A86F-AA1B975692D2}"/>
        <s v="{AECF5DDC-339E-44F9-8A4E-FCA1F7149F48}"/>
        <s v="{395F07AB-CDDE-4282-B5F6-0AA823DCA7A0}"/>
        <s v="{605E2FB3-C939-463E-A18E-6E54DB17B194}"/>
        <s v="{40C71E94-35FC-45FB-ADEA-850B646581ED}"/>
        <s v="{1F25C29B-E7C8-4DFA-8B72-BEECAE8CF43A}"/>
        <s v="{26B15C1F-E45F-468D-89A1-79084B8E24FA}"/>
        <s v="{35AE0014-B23A-4CDD-A55C-8438E3FF5DBB}"/>
        <s v="{FFACD4EF-6374-474C-88E5-A5A871E718FE}"/>
        <s v="{7DEF82BB-7660-4405-9A3B-2F0A6F5D6A72}"/>
        <s v="{3EEE2165-A963-4F8C-9002-31BB93042440}"/>
        <s v="{FDC646D8-993A-4F46-8D87-A35A3D456CFD}"/>
      </sharedItems>
    </cacheField>
    <cacheField name="Shape__Area" numFmtId="0">
      <sharedItems containsSemiMixedTypes="0" containsString="0" containsNumber="1">
        <n v="2.149049100112801E-5"/>
        <n v="1.62872260373965E-5"/>
        <n v="1.22139934374775E-5"/>
        <n v="1.1697326743859E-5"/>
        <n v="1.2103517177982E-5"/>
        <n v="6.684706013634002E-6"/>
        <n v="5.692547440598001E-6"/>
        <n v="5.559958611638001E-6"/>
        <n v="5.001825120869001E-6"/>
        <n v="3.947843000566001E-6"/>
        <n v="2.56152185475E-6"/>
        <n v="2.500081077629501E-6"/>
        <n v="2.471150623361001E-6"/>
        <n v="2.495437734032501E-6"/>
        <n v="1.857271543666E-6"/>
        <n v="2.0569334424245E-6"/>
        <n v="1.490397224665E-6"/>
        <n v="1.2476688526765E-6"/>
        <n v="1.092819713078E-6"/>
        <n v="1.672732493568001E-6"/>
        <n v="3.176620734560001E-7"/>
        <n v="2.840119137792001E-6"/>
        <n v="7.405001303850002E-8"/>
      </sharedItems>
    </cacheField>
    <cacheField name="Shape__Length" numFmtId="0">
      <sharedItems containsSemiMixedTypes="0" containsString="0" containsNumber="1">
        <n v="0.01881040082762302"/>
        <n v="0.01612324924401329"/>
        <n v="0.01658435482145709"/>
        <n v="0.0296291097212055"/>
        <n v="0.04805664692442255"/>
        <n v="0.0114302943807414"/>
        <n v="0.01516760947958021"/>
        <n v="0.02964355188555948"/>
        <n v="0.01389450099734852"/>
        <n v="0.01188328959215671"/>
        <n v="0.009071861425148552"/>
        <n v="0.009435319827804071"/>
        <n v="0.02207265877351565"/>
        <n v="0.02012430083088255"/>
        <n v="0.006172890874418299"/>
        <n v="0.0210295840048526"/>
        <n v="0.01128680866927593"/>
        <n v="0.01120535985615117"/>
        <n v="0.01815058745578098"/>
        <n v="0.02360336354819087"/>
        <n v="0.002785054771350164"/>
        <n v="0.01298100937675194"/>
        <n v="0.001238557175934807"/>
      </sharedItems>
    </cacheField>
    <cacheField name="PUBLIC_ENGAGEMENT" numFmtId="0">
      <sharedItems containsString="0" containsBlank="1">
        <m/>
      </sharedItems>
    </cacheField>
    <cacheField name="PUBLIC_FACING" numFmtId="0">
      <sharedItems>
        <s v="Yes"/>
      </sharedItems>
    </cacheField>
    <cacheField name="SITE_ADDRESS" numFmtId="0">
      <sharedItems containsBlank="1">
        <m/>
        <s v="5775 NE 26TH CT"/>
      </sharedItems>
    </cacheField>
    <cacheField name="PW_INSPECTOR" numFmtId="0">
      <sharedItems containsBlank="1">
        <s v="JV"/>
        <m/>
        <s v="JH"/>
        <s v="KH"/>
      </sharedItems>
    </cacheField>
    <cacheField name="GEOMETRY_REPAIRED" numFmtId="0">
      <sharedItems>
        <s v="false"/>
        <s v="true"/>
      </sharedItems>
    </cacheField>
    <cacheField name="GEOMETRY_EMPTY_QA_FLAG" numFmtId="0">
      <sharedItems>
        <s v="false"/>
      </sharedItems>
    </cacheField>
    <cacheField name="GEOMETRY_QA_FLAG" numFmtId="0">
      <sharedItems>
        <s v="false"/>
        <s v="true"/>
      </sharedItems>
    </cacheField>
    <cacheField name="OBJECTID_DUPLICATE_QA_FLAG" numFmtId="0">
      <sharedItems>
        <s v="false"/>
      </sharedItems>
    </cacheField>
    <cacheField name="GLOBALID_DUPLICATE_QA_FLAG" numFmtId="0">
      <sharedItems>
        <s v="false"/>
      </sharedItems>
    </cacheField>
    <cacheField name="DATE_ORDER_QA_FLAG" numFmtId="0">
      <sharedItems>
        <s v="false"/>
      </sharedItems>
    </cacheField>
    <cacheField name="AGENCY_LABEL" numFmtId="0">
      <sharedItems>
        <s v="Developer"/>
      </sharedItems>
    </cacheField>
    <cacheField name="PROJECT_STATUS_LABEL" numFmtId="0">
      <sharedItems containsBlank="1">
        <s v="In Construction"/>
        <s v="In Review"/>
        <m/>
      </sharedItems>
    </cacheField>
    <cacheField name="PROJECT_TYPE_LABEL" numFmtId="0">
      <sharedItems containsString="0" containsBlank="1">
        <m/>
      </sharedItems>
    </cacheField>
    <cacheField name="PROJECT_PROGRAM_LABEL" numFmtId="0">
      <sharedItems containsBlank="1">
        <m/>
        <s v="North Hillsboro Industrial Tech Park"/>
      </sharedItems>
    </cacheField>
    <cacheField name="WORK_CATEGORY_LABEL" numFmtId="0">
      <sharedItems containsBlank="1">
        <m/>
        <s v="Sanitary Sewer and Stormwater Improvements"/>
        <s v="New Road Construction"/>
        <s v="Commercial Development"/>
        <s v="Half Street Improvement"/>
      </sharedItems>
    </cacheField>
    <cacheField name="PUBLIC_FACING_LABEL" numFmtId="0">
      <sharedItems>
        <s v="Yes"/>
      </sharedItems>
    </cacheField>
    <cacheField name="PW_INSPECTOR_LABEL" numFmtId="0">
      <sharedItems containsBlank="1">
        <s v="Joshua Vanderzanden"/>
        <m/>
        <s v="Joseph Hazel"/>
        <s v="Kenny Herrick"/>
      </sharedItems>
    </cacheField>
    <cacheField name="WATER_INSPECTOR_LABEL" numFmtId="0">
      <sharedItems containsString="0" containsBlank="1">
        <m/>
      </sharedItems>
    </cacheField>
    <cacheField name="fid_2" numFmtId="0">
      <sharedItems containsSemiMixedTypes="0" containsString="0" containsNumber="1" containsInteger="1">
        <n v="214.0"/>
        <n v="218.0"/>
      </sharedItems>
    </cacheField>
    <cacheField name="GlobalID_2" numFmtId="0">
      <sharedItems>
        <s v="{D720E694-2055-49C8-996B-E0E307C65EE0}"/>
        <s v="{5F931DB4-49A1-4431-90BD-477A3A15B525}"/>
      </sharedItems>
    </cacheField>
    <cacheField name="Tracking_CreateID_2" numFmtId="0">
      <sharedItems containsString="0" containsBlank="1">
        <m/>
      </sharedItems>
    </cacheField>
    <cacheField name="UTC_CreateDate_2" numFmtId="0">
      <sharedItems containsString="0" containsBlank="1">
        <m/>
      </sharedItems>
    </cacheField>
    <cacheField name="Tracking_EditID_2" numFmtId="0">
      <sharedItems>
        <s v="LACSH"/>
      </sharedItems>
    </cacheField>
    <cacheField name="UTC_EditDate_2" numFmtId="0">
      <sharedItems>
        <s v="2026-07-27T23:25:00Z"/>
        <s v="2026-06-17T22:03:33Z"/>
      </sharedItems>
    </cacheField>
    <cacheField name="OBJECTID_1" numFmtId="0">
      <sharedItems containsSemiMixedTypes="0" containsString="0" containsNumber="1" containsInteger="1">
        <n v="923.0"/>
        <n v="928.0"/>
      </sharedItems>
    </cacheField>
    <cacheField name="DESCRIPTIO" numFmtId="0">
      <sharedItems>
        <s v="I-S"/>
      </sharedItems>
    </cacheField>
    <cacheField name="Shape__Area_2" numFmtId="0">
      <sharedItems containsSemiMixedTypes="0" containsString="0" containsNumber="1">
        <n v="4.625055412523788E7"/>
        <n v="6000725.838705278"/>
      </sharedItems>
    </cacheField>
    <cacheField name="Shape__Length_2" numFmtId="0">
      <sharedItems containsSemiMixedTypes="0" containsString="0" containsNumber="1">
        <n v="63465.66997241383"/>
        <n v="19498.74803907091"/>
      </sharedItems>
    </cacheField>
    <cacheField name="GEOMETRY_REPAIRED_2" numFmtId="0">
      <sharedItems>
        <s v="false"/>
      </sharedItems>
    </cacheField>
    <cacheField name="GEOMETRY_EMPTY_QA_FLAG_2" numFmtId="0">
      <sharedItems>
        <s v="false"/>
      </sharedItems>
    </cacheField>
    <cacheField name="GEOMETRY_QA_FLAG_2" numFmtId="0">
      <sharedItems>
        <s v="false"/>
      </sharedItems>
    </cacheField>
    <cacheField name="OBJECTID_DUPLICATE_QA_FLAG_2" numFmtId="0">
      <sharedItems>
        <s v="false"/>
      </sharedItems>
    </cacheField>
    <cacheField name="GLOBALID_DUPLICATE_QA_FLAG_2" numFmtId="0">
      <sharedItems>
        <s v="false"/>
      </sharedItems>
    </cacheField>
    <cacheField name="NEGATIVE_AREA_QA_FLAG" numFmtId="0">
      <sharedItems>
        <s v="false"/>
      </sharedItems>
    </cacheField>
    <cacheField name="DESCRIPTIO_LABEL" numFmtId="0">
      <sharedItems>
        <s v="Industrial Sanctuary"/>
      </sharedItems>
    </cacheField>
    <cacheField name="INTERSECT_ACRES" numFmtId="0">
      <sharedItems containsSemiMixedTypes="0" containsString="0" containsNumber="1">
        <n v="4.273199622704494"/>
        <n v="3.244535186066211"/>
        <n v="2.433450124173276"/>
        <n v="2.330269115805755"/>
        <n v="2.298698716484868"/>
        <n v="1.331445637467609"/>
        <n v="1.124150522286611"/>
        <n v="1.105860358038164"/>
        <n v="0.9963433472259973"/>
        <n v="0.7864757714496078"/>
        <n v="0.5102740955701751"/>
        <n v="0.498651835403951"/>
        <n v="0.4922629224677184"/>
        <n v="0.4675382438083323"/>
        <n v="0.3700001325434075"/>
        <n v="0.3133410238507487"/>
        <n v="0.2970191860433133"/>
        <n v="0.2456381684722186"/>
        <n v="0.2126855823898491"/>
        <n v="0.1559369614582305"/>
        <n v="0.03343978062173803"/>
        <n v="0.01511583718294087"/>
        <n v="0.014752979807494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W1000" sheet="REL-001 Devind Industiral Sanct"/>
  </cacheSource>
  <cacheFields>
    <cacheField name="fid" numFmtId="0">
      <sharedItems containsString="0" containsBlank="1" containsNumber="1" containsInteger="1">
        <n v="268.0"/>
        <n v="277.0"/>
        <n v="145.0"/>
        <n v="22.0"/>
        <n v="225.0"/>
        <n v="2.0"/>
        <n v="146.0"/>
        <n v="223.0"/>
        <n v="217.0"/>
        <n v="124.0"/>
        <n v="218.0"/>
        <n v="219.0"/>
        <n v="220.0"/>
        <n v="216.0"/>
        <n v="21.0"/>
        <n v="222.0"/>
        <n v="102.0"/>
        <n v="282.0"/>
        <n v="129.0"/>
        <n v="224.0"/>
        <n v="188.0"/>
        <n v="278.0"/>
        <n v="297.0"/>
        <m/>
      </sharedItems>
    </cacheField>
    <cacheField name="OBJECTID" numFmtId="0">
      <sharedItems containsString="0" containsBlank="1" containsNumber="1" containsInteger="1">
        <n v="2030.0"/>
        <n v="2277.0"/>
        <n v="1913.0"/>
        <n v="405.0"/>
        <n v="1964.0"/>
        <n v="12.0"/>
        <n v="1915.0"/>
        <n v="1962.0"/>
        <n v="1956.0"/>
        <n v="1049.0"/>
        <n v="1957.0"/>
        <n v="1958.0"/>
        <n v="1959.0"/>
        <n v="1955.0"/>
        <n v="356.0"/>
        <n v="1961.0"/>
        <n v="1030.0"/>
        <n v="2441.0"/>
        <n v="1863.0"/>
        <n v="1963.0"/>
        <n v="1942.0"/>
        <n v="2314.0"/>
        <n v="2491.0"/>
        <m/>
      </sharedItems>
    </cacheField>
    <cacheField name="Analysis_Class" numFmtId="0">
      <sharedItems containsBlank="1">
        <s v="Other"/>
        <s v="Infrastructure"/>
        <s v="Data Center"/>
        <m/>
      </sharedItems>
    </cacheField>
    <cacheField name="NAME" numFmtId="0">
      <sharedItems containsBlank="1">
        <s v="Sewell Corporate Park Phase II PIP"/>
        <s v="DSV Logistics Stormline"/>
        <s v="STACK POR03G"/>
        <s v="QTS Data Centers FB2"/>
        <s v="HCP PIP L Vegetated Corridor Mitigation"/>
        <s v="DLR PDX12 Data Center"/>
        <s v="Aligned Data Centers (PDX01)"/>
        <s v="HCP PIP A Huffman West"/>
        <s v="HCP PIP F NE Storm Pond 2"/>
        <s v="T5 Building 2"/>
        <s v="HCP PIP D Industrial Road"/>
        <s v="HCP PIP E NW Storm Pond 1"/>
        <s v="HCP PIP G Sani Phase 2"/>
        <s v="HCP PIP I 25th Ave"/>
        <s v="QTS Data Center - DC2"/>
        <s v="HCP PIP B JSR Curb and Sidewalk"/>
        <s v="Starr Blvd Half-Street Improvements - QTS Data Centers DC5"/>
        <s v="Starr - Meek Public Improvements"/>
        <s v="STACK POR04 - Additional Water Line"/>
        <s v="HCP PIP H Sani Offsite Phase 1"/>
        <s v="STACK POR03D"/>
        <s v="HCP PIP N Huffman East Leg 2"/>
        <s v="NE 30th Temporary Construction Access"/>
        <m/>
      </sharedItems>
    </cacheField>
    <cacheField name="PARENT_AS_BUILT" numFmtId="0">
      <sharedItems containsBlank="1">
        <m/>
        <s v="P2423"/>
        <s v="P2221"/>
        <s v="P2603"/>
        <s v="P2430"/>
        <s v="P2322"/>
        <s v="P2438"/>
      </sharedItems>
    </cacheField>
    <cacheField name="STORM_AS_BUILT" numFmtId="0">
      <sharedItems containsBlank="1">
        <m/>
        <s v="STMP2423"/>
        <s v="STMP2221"/>
        <s v="STMP2603"/>
        <s v="STMP2430"/>
        <s v="STMP2322"/>
        <s v="STMP2438"/>
      </sharedItems>
    </cacheField>
    <cacheField name="SANITARY_AS_BUILT" numFmtId="0">
      <sharedItems containsBlank="1">
        <m/>
        <s v="SANP2423"/>
        <s v="SANP2603"/>
        <s v="SANP2430"/>
        <s v="SANP2438"/>
      </sharedItems>
    </cacheField>
    <cacheField name="TRANS_AS_BUILT" numFmtId="0">
      <sharedItems containsBlank="1">
        <m/>
        <s v="P2423"/>
        <s v="P2221"/>
        <s v="P2603"/>
        <s v="P2430"/>
        <s v="P2322"/>
        <s v="P2438"/>
      </sharedItems>
    </cacheField>
    <cacheField name="WATER_AS_BUILT" numFmtId="0">
      <sharedItems containsBlank="1">
        <m/>
        <s v="WTRP2423"/>
        <s v="WTRP2221"/>
        <s v="WTRP2603"/>
        <s v="WTRP2322"/>
        <s v="WTRP2438"/>
      </sharedItems>
    </cacheField>
    <cacheField name="FIBER_AS_BUILT" numFmtId="0">
      <sharedItems containsBlank="1">
        <m/>
        <s v="FIBP2423"/>
        <s v="FIBP2603"/>
      </sharedItems>
    </cacheField>
    <cacheField name="STREET_LIGHT_AS_BUILT" numFmtId="0">
      <sharedItems containsBlank="1">
        <m/>
        <s v="STLP2423"/>
        <s v="STLP2221"/>
        <s v="STLP2603"/>
        <s v="STLP2430"/>
        <s v="STLP2322"/>
        <s v="STLP2438"/>
      </sharedItems>
    </cacheField>
    <cacheField name="SIGNAL_AS_BUILT" numFmtId="0">
      <sharedItems containsString="0" containsBlank="1">
        <m/>
      </sharedItems>
    </cacheField>
    <cacheField name="SIGN_AS_BUILT" numFmtId="0">
      <sharedItems containsBlank="1">
        <m/>
        <s v="SGNP2423"/>
        <s v="SGNP2221"/>
        <s v="SGNP2603"/>
        <s v="SGNP2430"/>
        <s v="SGNP2322"/>
        <s v="SGNP2438"/>
      </sharedItems>
    </cacheField>
    <cacheField name="LANDSCAPE_AS_BUILT" numFmtId="0">
      <sharedItems containsBlank="1">
        <m/>
        <s v="LANP2423"/>
        <s v="LANP2221"/>
        <s v="LANP2603"/>
        <s v="LANP2430"/>
        <s v="LANP2322"/>
        <s v="LANP2438"/>
      </sharedItems>
    </cacheField>
    <cacheField name="PERMIT_NUMBER" numFmtId="0">
      <sharedItems containsBlank="1">
        <s v="PIP-0001-26"/>
        <s v="PIP-0010-26"/>
        <s v="PIP-0015-23"/>
        <s v="PIP-0047-21"/>
        <s v="PIP-0035-24"/>
        <s v="PIP-0031-20"/>
        <s v="PIP-0018-23"/>
        <s v="PIP-0026-24"/>
        <s v="PIP-0031-24"/>
        <s v="PIP-0052-22"/>
        <s v="PIP-0029-24"/>
        <s v="PIP-0030-24"/>
        <s v="PIP-0032-24"/>
        <s v="PIP-0034-24"/>
        <s v="PIP-0043-20"/>
        <s v="PIP-0027-24"/>
        <s v="PIP-0028-22"/>
        <s v="PIP-0013-26"/>
        <s v="PIP-0064-22"/>
        <s v="PIP-0033-24"/>
        <s v="PIP-0012-24"/>
        <s v="PIP-0011-26"/>
        <s v="PIP-0015-26"/>
        <m/>
      </sharedItems>
    </cacheField>
    <cacheField name="AGENCY" numFmtId="0">
      <sharedItems containsBlank="1">
        <s v="DEV"/>
        <m/>
      </sharedItems>
    </cacheField>
    <cacheField name="AGENCY_LINK" numFmtId="0">
      <sharedItems containsString="0" containsBlank="1">
        <m/>
      </sharedItems>
    </cacheField>
    <cacheField name="PERMIT_CREATE_DATE" numFmtId="0">
      <sharedItems containsBlank="1">
        <s v="2026-01-09T00:00:00Z"/>
        <s v="2026-05-15T00:00:00Z"/>
        <s v="2023-06-28T00:00:00Z"/>
        <s v="2021-10-05T00:00:00Z"/>
        <s v="2024-10-29T00:00:00Z"/>
        <s v="2020-07-13T00:00:00Z"/>
        <s v="2023-07-20T00:00:00Z"/>
        <s v="2024-10-03T00:00:00Z"/>
        <s v="2022-08-26T00:00:00Z"/>
        <s v="2024-10-17T00:00:00Z"/>
        <s v="2020-12-15T00:00:00Z"/>
        <s v="2022-04-04T00:00:00Z"/>
        <s v="2026-06-22T00:00:00Z"/>
        <s v="2022-12-02T00:00:00Z"/>
        <s v="2024-03-12T00:00:00Z"/>
        <s v="2026-06-03T00:00:00Z"/>
        <s v="2026-06-30T00:00:00Z"/>
        <m/>
      </sharedItems>
    </cacheField>
    <cacheField name="ANT_START_DATE" numFmtId="0">
      <sharedItems containsBlank="1">
        <s v="1899-12-30T00:00:00Z"/>
        <m/>
      </sharedItems>
    </cacheField>
    <cacheField name="ANT_COMP_DATE" numFmtId="0">
      <sharedItems containsString="0" containsBlank="1">
        <m/>
      </sharedItems>
    </cacheField>
    <cacheField name="STATUS_CHANGE_DATE" numFmtId="0">
      <sharedItems containsBlank="1">
        <s v="2026-05-12T00:00:00Z"/>
        <s v="2026-05-15T00:00:00Z"/>
        <s v="2024-09-28T00:00:00Z"/>
        <s v="2024-07-24T00:00:00Z"/>
        <s v="2025-07-09T00:00:00Z"/>
        <s v="2024-04-29T00:00:00Z"/>
        <s v="2026-05-06T00:00:00Z"/>
        <s v="2025-06-18T00:00:00Z"/>
        <s v="2025-01-16T00:00:00Z"/>
        <s v="2025-06-25T00:00:00Z"/>
        <s v="2026-08-17T00:00:00Z"/>
        <s v="2025-05-22T00:00:00Z"/>
        <s v="2025-08-22T00:00:00Z"/>
        <s v="2023-09-21T00:00:00Z"/>
        <s v="2025-06-12T00:00:00Z"/>
        <s v="2025-01-24T00:00:00Z"/>
        <s v="2026-06-22T00:00:00Z"/>
        <s v="2024-10-31T00:00:00Z"/>
        <s v="2025-04-30T00:00:00Z"/>
        <s v="2024-08-15T00:00:00Z"/>
        <s v="2026-06-03T00:00:00Z"/>
        <s v="2026-08-13T00:00:00Z"/>
        <m/>
      </sharedItems>
    </cacheField>
    <cacheField name="WARRANTY_START_DATE" numFmtId="0">
      <sharedItems containsBlank="1">
        <m/>
        <s v="2024-06-28T00:00:00Z"/>
        <s v="2022-12-05T00:00:00Z"/>
        <s v="2023-10-13T00:00:00Z"/>
      </sharedItems>
    </cacheField>
    <cacheField name="WARRANTY_END_DATE" numFmtId="0">
      <sharedItems containsBlank="1">
        <m/>
        <s v="2023-12-05T00:00:00Z"/>
      </sharedItems>
    </cacheField>
    <cacheField name="PROJECT_STATUS" numFmtId="0">
      <sharedItems containsBlank="1">
        <s v="CON"/>
        <s v="REV"/>
        <s v="WARR_1YR"/>
        <s v="WARR_2YR"/>
        <m/>
      </sharedItems>
    </cacheField>
    <cacheField name="PROJECT_TYPE" numFmtId="0">
      <sharedItems containsBlank="1">
        <s v="DEVIND"/>
        <m/>
      </sharedItems>
    </cacheField>
    <cacheField name="PROJECT_DESCRIPTION" numFmtId="0">
      <sharedItems containsBlank="1">
        <s v="Improvements include sidewalk/planter strip/cycle track frontage improvements, a public sanitary line on private property in an easement, some water connections, and a driveway connection."/>
        <s v="Four driveway approaches and two outfalls to the regional pond"/>
        <m/>
        <s v="Road widening water and lighting on both streets, storm water on Meek, off-site sanitary"/>
        <s v="Construction of data center building POR03D and associated site improvements"/>
        <s v="New road and storm water connection NE Sewell Ave to NE 30th Ave"/>
        <s v="Reconstruct curb and gutter, concrete sidewalk, cycle track and landscaping for temp construction access"/>
      </sharedItems>
    </cacheField>
    <cacheField name="PROJECT_PROGRAM" numFmtId="0">
      <sharedItems containsBlank="1">
        <m/>
        <s v="NOHI"/>
      </sharedItems>
    </cacheField>
    <cacheField name="WORK_CATEGORY" numFmtId="0">
      <sharedItems containsBlank="1">
        <s v="DEV_IND"/>
        <s v="SANSTORM_IMP"/>
        <s v="NEW_ROAD"/>
        <s v="DEV_COM"/>
        <s v="HALF_STREET"/>
        <m/>
      </sharedItems>
    </cacheField>
    <cacheField name="COMMENTS" numFmtId="0">
      <sharedItems containsBlank="1">
        <m/>
        <s v="KPFF: Randy Evans / randy.evans@kpff.com / (808) 757-7814"/>
        <s v="Navix: Yong Fook Ho / yho@navixeng.com / (503) 680-3954"/>
        <s v="KPFF: Nalini Chandran /nalini.chandran@kpff.com / (512) 461-5489"/>
      </sharedItems>
    </cacheField>
    <cacheField name="IMPERVIOUS_SURFACE" numFmtId="0">
      <sharedItems containsBlank="1">
        <m/>
        <s v="513014"/>
        <s v=".03"/>
      </sharedItems>
    </cacheField>
    <cacheField name="ENGINEER" numFmtId="0">
      <sharedItems containsBlank="1">
        <s v="AKS"/>
        <s v="Mackenzie"/>
        <m/>
        <s v="KPFF"/>
        <s v="NAVIX"/>
        <s v="HARPER HOFF PETERSON RIGHELLIS, INC"/>
        <s v="KPFF CONSULTING ENGINEERS"/>
        <s v="Harper Houf Peterson Reighellis Inc."/>
      </sharedItems>
    </cacheField>
    <cacheField name="DEVELOPER" numFmtId="0">
      <sharedItems containsBlank="1">
        <s v="Trammell Crow"/>
        <s v="DSV Real Estate Oregon, LLC"/>
        <m/>
        <s v="QTS"/>
        <s v="BEAVER VENTURES, LLC"/>
        <s v="ALIGNED DATA CENTERS (PDX) PROPCO, LLC"/>
        <s v="Trammell Crow Company"/>
        <s v="T5 @ PORTLAND IV LCC"/>
        <s v="Scannell Properties"/>
        <s v="Stack Infrastructure"/>
        <s v="Aligned Data Centers"/>
      </sharedItems>
    </cacheField>
    <cacheField name="Tracking_CreateID" numFmtId="0">
      <sharedItems containsBlank="1">
        <s v="IVESY"/>
        <s v="MCCKE"/>
        <s v="MCRGA"/>
        <s v="ROADS"/>
        <m/>
      </sharedItems>
    </cacheField>
    <cacheField name="UTC_CreateDate" numFmtId="0">
      <sharedItems containsBlank="1">
        <s v="2026-03-05T18:32:53Z"/>
        <s v="2026-05-26T16:19:25Z"/>
        <s v="2023-07-28T21:57:35Z"/>
        <s v="2021-11-16T14:42:15Z"/>
        <s v="2024-12-06T23:38:37Z"/>
        <s v="2023-08-21T15:35:35Z"/>
        <s v="2024-11-01T16:15:54Z"/>
        <s v="2024-10-29T23:07:39Z"/>
        <s v="2022-11-04T20:02:45Z"/>
        <s v="2024-10-29T23:26:08Z"/>
        <s v="2024-10-29T23:19:28Z"/>
        <s v="2024-10-29T22:52:12Z"/>
        <s v="2024-10-28T19:53:10Z"/>
        <s v="2022-07-19T23:34:18Z"/>
        <s v="2026-06-24T16:44:51Z"/>
        <s v="2023-01-11T22:21:57Z"/>
        <s v="2024-11-19T17:15:29Z"/>
        <s v="2024-03-28T16:39:06Z"/>
        <s v="2026-06-09T21:15:22Z"/>
        <s v="2026-07-07T16:10:40Z"/>
        <m/>
      </sharedItems>
    </cacheField>
    <cacheField name="Tracking_EditID" numFmtId="0">
      <sharedItems containsBlank="1">
        <s v="MCCKE"/>
        <m/>
      </sharedItems>
    </cacheField>
    <cacheField name="UTC_EditDate" numFmtId="0">
      <sharedItems containsBlank="1">
        <s v="2026-06-09T22:22:20Z"/>
        <s v="2026-06-26T15:33:59Z"/>
        <s v="2026-04-14T17:07:36Z"/>
        <s v="2026-05-12T16:52:05Z"/>
        <s v="2026-08-07T15:19:16Z"/>
        <s v="2026-08-18T16:02:23Z"/>
        <s v="2026-07-07T16:01:31Z"/>
        <s v="2026-09-09T22:40:59Z"/>
        <m/>
      </sharedItems>
    </cacheField>
    <cacheField name="GlobalID" numFmtId="0">
      <sharedItems containsBlank="1">
        <s v="{632E558F-B432-4A99-AFF2-CE56C0FD01B9}"/>
        <s v="{B08928FA-D019-4EF5-BB32-9809DBDBEF10}"/>
        <s v="{8E9D1C53-CBF7-4E15-B140-AC2D0F5DF5C8}"/>
        <s v="{9BBDF68F-99CF-4601-8B15-135B617A38D4}"/>
        <s v="{356B66BA-D47B-4852-9118-89D19F86BFF4}"/>
        <s v="{1D183868-5CDF-4A05-B74A-9E9700E04027}"/>
        <s v="{573DF999-408F-4861-B81A-0A923ED8C022}"/>
        <s v="{A7951A7F-E849-49BA-8E9F-A661FACC0F39}"/>
        <s v="{24BB7760-0EFA-429D-B4C1-4E893DCE478E}"/>
        <s v="{C248B701-5228-4440-8D8D-C9C315E7370C}"/>
        <s v="{92F7663A-97B6-4F5B-867E-62C082B3C08E}"/>
        <s v="{CD914051-372D-4A8D-A86F-AA1B975692D2}"/>
        <s v="{AECF5DDC-339E-44F9-8A4E-FCA1F7149F48}"/>
        <s v="{395F07AB-CDDE-4282-B5F6-0AA823DCA7A0}"/>
        <s v="{605E2FB3-C939-463E-A18E-6E54DB17B194}"/>
        <s v="{40C71E94-35FC-45FB-ADEA-850B646581ED}"/>
        <s v="{1F25C29B-E7C8-4DFA-8B72-BEECAE8CF43A}"/>
        <s v="{26B15C1F-E45F-468D-89A1-79084B8E24FA}"/>
        <s v="{35AE0014-B23A-4CDD-A55C-8438E3FF5DBB}"/>
        <s v="{FFACD4EF-6374-474C-88E5-A5A871E718FE}"/>
        <s v="{7DEF82BB-7660-4405-9A3B-2F0A6F5D6A72}"/>
        <s v="{3EEE2165-A963-4F8C-9002-31BB93042440}"/>
        <s v="{FDC646D8-993A-4F46-8D87-A35A3D456CFD}"/>
        <m/>
      </sharedItems>
    </cacheField>
    <cacheField name="Shape__Area" numFmtId="0">
      <sharedItems containsString="0" containsBlank="1" containsNumber="1">
        <n v="2.149049100112801E-5"/>
        <n v="1.62872260373965E-5"/>
        <n v="1.22139934374775E-5"/>
        <n v="1.1697326743859E-5"/>
        <n v="1.2103517177982E-5"/>
        <n v="6.684706013634002E-6"/>
        <n v="5.692547440598001E-6"/>
        <n v="5.559958611638001E-6"/>
        <n v="5.001825120869001E-6"/>
        <n v="3.947843000566001E-6"/>
        <n v="2.56152185475E-6"/>
        <n v="2.500081077629501E-6"/>
        <n v="2.471150623361001E-6"/>
        <n v="2.495437734032501E-6"/>
        <n v="1.857271543666E-6"/>
        <n v="2.0569334424245E-6"/>
        <n v="1.490397224665E-6"/>
        <n v="1.2476688526765E-6"/>
        <n v="1.092819713078E-6"/>
        <n v="1.672732493568001E-6"/>
        <n v="3.176620734560001E-7"/>
        <n v="2.840119137792001E-6"/>
        <n v="7.405001303850002E-8"/>
        <m/>
      </sharedItems>
    </cacheField>
    <cacheField name="Shape__Length" numFmtId="0">
      <sharedItems containsString="0" containsBlank="1" containsNumber="1">
        <n v="0.01881040082762302"/>
        <n v="0.01612324924401329"/>
        <n v="0.01658435482145709"/>
        <n v="0.0296291097212055"/>
        <n v="0.04805664692442255"/>
        <n v="0.0114302943807414"/>
        <n v="0.01516760947958021"/>
        <n v="0.02964355188555948"/>
        <n v="0.01389450099734852"/>
        <n v="0.01188328959215671"/>
        <n v="0.009071861425148552"/>
        <n v="0.009435319827804071"/>
        <n v="0.02207265877351565"/>
        <n v="0.02012430083088255"/>
        <n v="0.006172890874418299"/>
        <n v="0.0210295840048526"/>
        <n v="0.01128680866927593"/>
        <n v="0.01120535985615117"/>
        <n v="0.01815058745578098"/>
        <n v="0.02360336354819087"/>
        <n v="0.002785054771350164"/>
        <n v="0.01298100937675194"/>
        <n v="0.001238557175934807"/>
        <m/>
      </sharedItems>
    </cacheField>
    <cacheField name="PUBLIC_ENGAGEMENT" numFmtId="0">
      <sharedItems containsString="0" containsBlank="1">
        <m/>
      </sharedItems>
    </cacheField>
    <cacheField name="PUBLIC_FACING" numFmtId="0">
      <sharedItems containsBlank="1">
        <s v="Yes"/>
        <m/>
      </sharedItems>
    </cacheField>
    <cacheField name="SITE_ADDRESS" numFmtId="0">
      <sharedItems containsBlank="1">
        <m/>
        <s v="5775 NE 26TH CT"/>
      </sharedItems>
    </cacheField>
    <cacheField name="PW_INSPECTOR" numFmtId="0">
      <sharedItems containsBlank="1">
        <s v="JV"/>
        <m/>
        <s v="JH"/>
        <s v="KH"/>
      </sharedItems>
    </cacheField>
    <cacheField name="GEOMETRY_REPAIRED" numFmtId="0">
      <sharedItems containsBlank="1">
        <s v="false"/>
        <s v="true"/>
        <m/>
      </sharedItems>
    </cacheField>
    <cacheField name="GEOMETRY_EMPTY_QA_FLAG" numFmtId="0">
      <sharedItems containsBlank="1">
        <s v="false"/>
        <m/>
      </sharedItems>
    </cacheField>
    <cacheField name="GEOMETRY_QA_FLAG" numFmtId="0">
      <sharedItems containsBlank="1">
        <s v="false"/>
        <s v="true"/>
        <m/>
      </sharedItems>
    </cacheField>
    <cacheField name="OBJECTID_DUPLICATE_QA_FLAG" numFmtId="0">
      <sharedItems containsBlank="1">
        <s v="false"/>
        <m/>
      </sharedItems>
    </cacheField>
    <cacheField name="GLOBALID_DUPLICATE_QA_FLAG" numFmtId="0">
      <sharedItems containsBlank="1">
        <s v="false"/>
        <m/>
      </sharedItems>
    </cacheField>
    <cacheField name="DATE_ORDER_QA_FLAG" numFmtId="0">
      <sharedItems containsBlank="1">
        <s v="false"/>
        <m/>
      </sharedItems>
    </cacheField>
    <cacheField name="AGENCY_LABEL" numFmtId="0">
      <sharedItems containsBlank="1">
        <s v="Developer"/>
        <m/>
      </sharedItems>
    </cacheField>
    <cacheField name="PROJECT_STATUS_LABEL" numFmtId="0">
      <sharedItems containsBlank="1">
        <s v="In Construction"/>
        <s v="In Review"/>
        <m/>
      </sharedItems>
    </cacheField>
    <cacheField name="PROJECT_TYPE_LABEL" numFmtId="0">
      <sharedItems containsString="0" containsBlank="1">
        <m/>
      </sharedItems>
    </cacheField>
    <cacheField name="PROJECT_PROGRAM_LABEL" numFmtId="0">
      <sharedItems containsBlank="1">
        <m/>
        <s v="North Hillsboro Industrial Tech Park"/>
      </sharedItems>
    </cacheField>
    <cacheField name="WORK_CATEGORY_LABEL" numFmtId="0">
      <sharedItems containsBlank="1">
        <m/>
        <s v="Sanitary Sewer and Stormwater Improvements"/>
        <s v="New Road Construction"/>
        <s v="Commercial Development"/>
        <s v="Half Street Improvement"/>
      </sharedItems>
    </cacheField>
    <cacheField name="PUBLIC_FACING_LABEL" numFmtId="0">
      <sharedItems containsBlank="1">
        <s v="Yes"/>
        <m/>
      </sharedItems>
    </cacheField>
    <cacheField name="PW_INSPECTOR_LABEL" numFmtId="0">
      <sharedItems containsBlank="1">
        <s v="Joshua Vanderzanden"/>
        <m/>
        <s v="Joseph Hazel"/>
        <s v="Kenny Herrick"/>
      </sharedItems>
    </cacheField>
    <cacheField name="WATER_INSPECTOR_LABEL" numFmtId="0">
      <sharedItems containsString="0" containsBlank="1">
        <m/>
      </sharedItems>
    </cacheField>
    <cacheField name="fid_2" numFmtId="0">
      <sharedItems containsString="0" containsBlank="1" containsNumber="1" containsInteger="1">
        <n v="214.0"/>
        <n v="218.0"/>
        <m/>
      </sharedItems>
    </cacheField>
    <cacheField name="GlobalID_2" numFmtId="0">
      <sharedItems containsBlank="1">
        <s v="{D720E694-2055-49C8-996B-E0E307C65EE0}"/>
        <s v="{5F931DB4-49A1-4431-90BD-477A3A15B525}"/>
        <m/>
      </sharedItems>
    </cacheField>
    <cacheField name="Tracking_CreateID_2" numFmtId="0">
      <sharedItems containsString="0" containsBlank="1">
        <m/>
      </sharedItems>
    </cacheField>
    <cacheField name="UTC_CreateDate_2" numFmtId="0">
      <sharedItems containsString="0" containsBlank="1">
        <m/>
      </sharedItems>
    </cacheField>
    <cacheField name="Tracking_EditID_2" numFmtId="0">
      <sharedItems containsBlank="1">
        <s v="LACSH"/>
        <m/>
      </sharedItems>
    </cacheField>
    <cacheField name="UTC_EditDate_2" numFmtId="0">
      <sharedItems containsBlank="1">
        <s v="2026-07-27T23:25:00Z"/>
        <s v="2026-06-17T22:03:33Z"/>
        <m/>
      </sharedItems>
    </cacheField>
    <cacheField name="OBJECTID_1" numFmtId="0">
      <sharedItems containsString="0" containsBlank="1" containsNumber="1" containsInteger="1">
        <n v="923.0"/>
        <n v="928.0"/>
        <m/>
      </sharedItems>
    </cacheField>
    <cacheField name="DESCRIPTIO" numFmtId="0">
      <sharedItems containsBlank="1">
        <s v="I-S"/>
        <m/>
      </sharedItems>
    </cacheField>
    <cacheField name="Shape__Area_2" numFmtId="0">
      <sharedItems containsString="0" containsBlank="1" containsNumber="1">
        <n v="4.625055412523788E7"/>
        <n v="6000725.838705278"/>
        <m/>
      </sharedItems>
    </cacheField>
    <cacheField name="Shape__Length_2" numFmtId="0">
      <sharedItems containsString="0" containsBlank="1" containsNumber="1">
        <n v="63465.66997241383"/>
        <n v="19498.74803907091"/>
        <m/>
      </sharedItems>
    </cacheField>
    <cacheField name="GEOMETRY_REPAIRED_2" numFmtId="0">
      <sharedItems containsBlank="1">
        <s v="false"/>
        <m/>
      </sharedItems>
    </cacheField>
    <cacheField name="GEOMETRY_EMPTY_QA_FLAG_2" numFmtId="0">
      <sharedItems containsBlank="1">
        <s v="false"/>
        <m/>
      </sharedItems>
    </cacheField>
    <cacheField name="GEOMETRY_QA_FLAG_2" numFmtId="0">
      <sharedItems containsBlank="1">
        <s v="false"/>
        <m/>
      </sharedItems>
    </cacheField>
    <cacheField name="OBJECTID_DUPLICATE_QA_FLAG_2" numFmtId="0">
      <sharedItems containsBlank="1">
        <s v="false"/>
        <m/>
      </sharedItems>
    </cacheField>
    <cacheField name="GLOBALID_DUPLICATE_QA_FLAG_2" numFmtId="0">
      <sharedItems containsBlank="1">
        <s v="false"/>
        <m/>
      </sharedItems>
    </cacheField>
    <cacheField name="NEGATIVE_AREA_QA_FLAG" numFmtId="0">
      <sharedItems containsBlank="1">
        <s v="false"/>
        <m/>
      </sharedItems>
    </cacheField>
    <cacheField name="DESCRIPTIO_LABEL" numFmtId="0">
      <sharedItems containsBlank="1">
        <s v="Industrial Sanctuary"/>
        <m/>
      </sharedItems>
    </cacheField>
    <cacheField name="INTERSECT_ACRES" numFmtId="0">
      <sharedItems containsString="0" containsBlank="1" containsNumber="1">
        <n v="4.273199622704494"/>
        <n v="3.244535186066211"/>
        <n v="2.433450124173276"/>
        <n v="2.330269115805755"/>
        <n v="2.298698716484868"/>
        <n v="1.331445637467609"/>
        <n v="1.124150522286611"/>
        <n v="1.105860358038164"/>
        <n v="0.9963433472259973"/>
        <n v="0.7864757714496078"/>
        <n v="0.5102740955701751"/>
        <n v="0.498651835403951"/>
        <n v="0.4922629224677184"/>
        <n v="0.4675382438083323"/>
        <n v="0.3700001325434075"/>
        <n v="0.3133410238507487"/>
        <n v="0.2970191860433133"/>
        <n v="0.2456381684722186"/>
        <n v="0.2126855823898491"/>
        <n v="0.1559369614582305"/>
        <n v="0.03343978062173803"/>
        <n v="0.01511583718294087"/>
        <n v="0.0147529798074941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anctuary Projects by Acreage" cacheId="0" dataCaption="" rowGrandTotals="0" compact="0" compactData="0">
  <location ref="A3:B26" firstHeaderRow="0" firstDataRow="1" firstDataCol="0"/>
  <pivotFields>
    <pivotField name="f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BJE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nalysis_Class" compact="0" outline="0" multipleItemSelectionAllowed="1" showAll="0">
      <items>
        <item x="0"/>
        <item x="1"/>
        <item x="2"/>
        <item t="default"/>
      </items>
    </pivotField>
    <pivotField name="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RENT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M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NITARY_AS_BUIL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NS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ATER_AS_BUIL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BER_AS_BUILT" compact="0" outline="0" multipleItemSelectionAllowed="1" showAll="0">
      <items>
        <item x="0"/>
        <item x="1"/>
        <item x="2"/>
        <item t="default"/>
      </items>
    </pivotField>
    <pivotField name="STREET_LIGHT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IGNAL_AS_BUILT" compact="0" outline="0" multipleItemSelectionAllowed="1" showAll="0">
      <items>
        <item x="0"/>
        <item t="default"/>
      </items>
    </pivotField>
    <pivotField name="SIGN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ANDSCAPE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ERMIT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GENCY" compact="0" outline="0" multipleItemSelectionAllowed="1" showAll="0">
      <items>
        <item x="0"/>
        <item t="default"/>
      </items>
    </pivotField>
    <pivotField name="AGENCY_LINK" compact="0" outline="0" multipleItemSelectionAllowed="1" showAll="0">
      <items>
        <item x="0"/>
        <item t="default"/>
      </items>
    </pivotField>
    <pivotField name="PERMIT_CREATE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T_START_DATE" compact="0" outline="0" multipleItemSelectionAllowed="1" showAll="0">
      <items>
        <item x="0"/>
        <item t="default"/>
      </items>
    </pivotField>
    <pivotField name="ANT_COMP_DATE" compact="0" outline="0" multipleItemSelectionAllowed="1" showAll="0">
      <items>
        <item x="0"/>
        <item t="default"/>
      </items>
    </pivotField>
    <pivotField name="STATUS_CHANGE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RRANTY_START_DATE" compact="0" outline="0" multipleItemSelectionAllowed="1" showAll="0">
      <items>
        <item x="0"/>
        <item x="1"/>
        <item x="2"/>
        <item x="3"/>
        <item t="default"/>
      </items>
    </pivotField>
    <pivotField name="WARRANTY_END_DATE" compact="0" outline="0" multipleItemSelectionAllowed="1" showAll="0">
      <items>
        <item x="0"/>
        <item x="1"/>
        <item t="default"/>
      </items>
    </pivotField>
    <pivotField name="PROJECT_STATUS" compact="0" outline="0" multipleItemSelectionAllowed="1" showAll="0">
      <items>
        <item x="0"/>
        <item x="1"/>
        <item x="2"/>
        <item x="3"/>
        <item t="default"/>
      </items>
    </pivotField>
    <pivotField name="PROJECT_TYPE" compact="0" outline="0" multipleItemSelectionAllowed="1" showAll="0">
      <items>
        <item x="0"/>
        <item t="default"/>
      </items>
    </pivotField>
    <pivotField name="PROJECT_DESCRIP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JECT_PROGRAM" compact="0" outline="0" multipleItemSelectionAllowed="1" showAll="0">
      <items>
        <item x="0"/>
        <item x="1"/>
        <item t="default"/>
      </items>
    </pivotField>
    <pivotField name="WORK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t="default"/>
      </items>
    </pivotField>
    <pivotField name="IMPERVIOUS_SURFACE" compact="0" outline="0" multipleItemSelectionAllowed="1" showAll="0">
      <items>
        <item x="0"/>
        <item x="1"/>
        <item x="2"/>
        <item t="default"/>
      </items>
    </pivotField>
    <pivotField name="ENGINE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VELOP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racking_CreateID" compact="0" outline="0" multipleItemSelectionAllowed="1" showAll="0">
      <items>
        <item x="0"/>
        <item x="1"/>
        <item x="2"/>
        <item x="3"/>
        <item t="default"/>
      </items>
    </pivotField>
    <pivotField name="UTC_Create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acking_EditID" compact="0" outline="0" multipleItemSelectionAllowed="1" showAll="0">
      <items>
        <item x="0"/>
        <item t="default"/>
      </items>
    </pivotField>
    <pivotField name="UTC_Edi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lobal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hape__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hape__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UBLIC_ENGAGEMENT" compact="0" outline="0" multipleItemSelectionAllowed="1" showAll="0">
      <items>
        <item x="0"/>
        <item t="default"/>
      </items>
    </pivotField>
    <pivotField name="PUBLIC_FACING" compact="0" outline="0" multipleItemSelectionAllowed="1" showAll="0">
      <items>
        <item x="0"/>
        <item t="default"/>
      </items>
    </pivotField>
    <pivotField name="SITE_ADDRESS" compact="0" outline="0" multipleItemSelectionAllowed="1" showAll="0">
      <items>
        <item x="0"/>
        <item x="1"/>
        <item t="default"/>
      </items>
    </pivotField>
    <pivotField name="PW_INSPECTOR" compact="0" outline="0" multipleItemSelectionAllowed="1" showAll="0">
      <items>
        <item x="0"/>
        <item x="1"/>
        <item x="2"/>
        <item x="3"/>
        <item t="default"/>
      </items>
    </pivotField>
    <pivotField name="GEOMETRY_REPAIRED" compact="0" outline="0" multipleItemSelectionAllowed="1" showAll="0">
      <items>
        <item x="0"/>
        <item x="1"/>
        <item t="default"/>
      </items>
    </pivotField>
    <pivotField name="GEOMETRY_EMPTY_QA_FLAG" compact="0" outline="0" multipleItemSelectionAllowed="1" showAll="0">
      <items>
        <item x="0"/>
        <item t="default"/>
      </items>
    </pivotField>
    <pivotField name="GEOMETRY_QA_FLAG" compact="0" outline="0" multipleItemSelectionAllowed="1" showAll="0">
      <items>
        <item x="0"/>
        <item x="1"/>
        <item t="default"/>
      </items>
    </pivotField>
    <pivotField name="OBJECTID_DUPLICATE_QA_FLAG" compact="0" outline="0" multipleItemSelectionAllowed="1" showAll="0">
      <items>
        <item x="0"/>
        <item t="default"/>
      </items>
    </pivotField>
    <pivotField name="GLOBALID_DUPLICATE_QA_FLAG" compact="0" outline="0" multipleItemSelectionAllowed="1" showAll="0">
      <items>
        <item x="0"/>
        <item t="default"/>
      </items>
    </pivotField>
    <pivotField name="DATE_ORDER_QA_FLAG" compact="0" outline="0" multipleItemSelectionAllowed="1" showAll="0">
      <items>
        <item x="0"/>
        <item t="default"/>
      </items>
    </pivotField>
    <pivotField name="AGENCY_LABEL" compact="0" outline="0" multipleItemSelectionAllowed="1" showAll="0">
      <items>
        <item x="0"/>
        <item t="default"/>
      </items>
    </pivotField>
    <pivotField name="PROJECT_STATUS_LABEL" compact="0" outline="0" multipleItemSelectionAllowed="1" showAll="0">
      <items>
        <item x="0"/>
        <item x="1"/>
        <item x="2"/>
        <item t="default"/>
      </items>
    </pivotField>
    <pivotField name="PROJECT_TYPE_LABEL" compact="0" outline="0" multipleItemSelectionAllowed="1" showAll="0">
      <items>
        <item x="0"/>
        <item t="default"/>
      </items>
    </pivotField>
    <pivotField name="PROJECT_PROGRAM_LABEL" compact="0" outline="0" multipleItemSelectionAllowed="1" showAll="0">
      <items>
        <item x="0"/>
        <item x="1"/>
        <item t="default"/>
      </items>
    </pivotField>
    <pivotField name="WORK_CATEGORY_LAB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IC_FACING_LABEL" compact="0" outline="0" multipleItemSelectionAllowed="1" showAll="0">
      <items>
        <item x="0"/>
        <item t="default"/>
      </items>
    </pivotField>
    <pivotField name="PW_INSPECTOR_LABEL" compact="0" outline="0" multipleItemSelectionAllowed="1" showAll="0">
      <items>
        <item x="0"/>
        <item x="1"/>
        <item x="2"/>
        <item x="3"/>
        <item t="default"/>
      </items>
    </pivotField>
    <pivotField name="WATER_INSPECTOR_LABEL" compact="0" outline="0" multipleItemSelectionAllowed="1" showAll="0">
      <items>
        <item x="0"/>
        <item t="default"/>
      </items>
    </pivotField>
    <pivotField name="fid_2" compact="0" outline="0" multipleItemSelectionAllowed="1" showAll="0">
      <items>
        <item x="0"/>
        <item x="1"/>
        <item t="default"/>
      </items>
    </pivotField>
    <pivotField name="GlobalID_2" compact="0" outline="0" multipleItemSelectionAllowed="1" showAll="0">
      <items>
        <item x="0"/>
        <item x="1"/>
        <item t="default"/>
      </items>
    </pivotField>
    <pivotField name="Tracking_CreateID_2" compact="0" outline="0" multipleItemSelectionAllowed="1" showAll="0">
      <items>
        <item x="0"/>
        <item t="default"/>
      </items>
    </pivotField>
    <pivotField name="UTC_CreateDate_2" compact="0" outline="0" multipleItemSelectionAllowed="1" showAll="0">
      <items>
        <item x="0"/>
        <item t="default"/>
      </items>
    </pivotField>
    <pivotField name="Tracking_EditID_2" compact="0" outline="0" multipleItemSelectionAllowed="1" showAll="0">
      <items>
        <item x="0"/>
        <item t="default"/>
      </items>
    </pivotField>
    <pivotField name="UTC_EditDate_2" compact="0" outline="0" multipleItemSelectionAllowed="1" showAll="0">
      <items>
        <item x="0"/>
        <item x="1"/>
        <item t="default"/>
      </items>
    </pivotField>
    <pivotField name="OBJECTID_1" compact="0" outline="0" multipleItemSelectionAllowed="1" showAll="0">
      <items>
        <item x="0"/>
        <item x="1"/>
        <item t="default"/>
      </items>
    </pivotField>
    <pivotField name="DESCRIPTIO" compact="0" outline="0" multipleItemSelectionAllowed="1" showAll="0">
      <items>
        <item x="0"/>
        <item t="default"/>
      </items>
    </pivotField>
    <pivotField name="Shape__Area_2" compact="0" outline="0" multipleItemSelectionAllowed="1" showAll="0">
      <items>
        <item x="0"/>
        <item x="1"/>
        <item t="default"/>
      </items>
    </pivotField>
    <pivotField name="Shape__Length_2" compact="0" outline="0" multipleItemSelectionAllowed="1" showAll="0">
      <items>
        <item x="0"/>
        <item x="1"/>
        <item t="default"/>
      </items>
    </pivotField>
    <pivotField name="GEOMETRY_REPAIRED_2" compact="0" outline="0" multipleItemSelectionAllowed="1" showAll="0">
      <items>
        <item x="0"/>
        <item t="default"/>
      </items>
    </pivotField>
    <pivotField name="GEOMETRY_EMPTY_QA_FLAG_2" compact="0" outline="0" multipleItemSelectionAllowed="1" showAll="0">
      <items>
        <item x="0"/>
        <item t="default"/>
      </items>
    </pivotField>
    <pivotField name="GEOMETRY_QA_FLAG_2" compact="0" outline="0" multipleItemSelectionAllowed="1" showAll="0">
      <items>
        <item x="0"/>
        <item t="default"/>
      </items>
    </pivotField>
    <pivotField name="OBJECTID_DUPLICATE_QA_FLAG_2" compact="0" outline="0" multipleItemSelectionAllowed="1" showAll="0">
      <items>
        <item x="0"/>
        <item t="default"/>
      </items>
    </pivotField>
    <pivotField name="GLOBALID_DUPLICATE_QA_FLAG_2" compact="0" outline="0" multipleItemSelectionAllowed="1" showAll="0">
      <items>
        <item x="0"/>
        <item t="default"/>
      </items>
    </pivotField>
    <pivotField name="NEGATIVE_AREA_QA_FLAG" compact="0" outline="0" multipleItemSelectionAllowed="1" showAll="0">
      <items>
        <item x="0"/>
        <item t="default"/>
      </items>
    </pivotField>
    <pivotField name="DESCRIPTIO_LABEL" compact="0" outline="0" multipleItemSelectionAllowed="1" showAll="0">
      <items>
        <item x="0"/>
        <item t="default"/>
      </items>
    </pivotField>
    <pivotField name="INTERSECT_AC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3"/>
  </rowFields>
  <dataFields>
    <dataField name="Sum of INTERSECT_ACRES" fld="74" baseField="0"/>
  </dataFields>
</pivotTableDefinition>
</file>

<file path=xl/pivotTables/pivotTable2.xml><?xml version="1.0" encoding="utf-8"?>
<pivotTableDefinition xmlns="http://schemas.openxmlformats.org/spreadsheetml/2006/main" name="Data Center Acreage" cacheId="0" dataCaption="" compact="0" compactData="0">
  <location ref="A3:B11" firstHeaderRow="0" firstDataRow="1" firstDataCol="0" rowPageCount="1" colPageCount="1"/>
  <pivotFields>
    <pivotField name="f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BJE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nalysis_Class" axis="axisPage" compact="0" outline="0" multipleItemSelectionAllowed="1" showAll="0">
      <items>
        <item h="1" x="0"/>
        <item h="1" x="1"/>
        <item x="2"/>
        <item t="default"/>
      </items>
    </pivotField>
    <pivotField name="NAME" axis="axisRow" compact="0" outline="0" multipleItemSelectionAllowed="1" showAll="0" sortType="ascending">
      <items>
        <item x="6"/>
        <item x="5"/>
        <item x="1"/>
        <item x="7"/>
        <item x="15"/>
        <item x="10"/>
        <item x="11"/>
        <item x="8"/>
        <item x="12"/>
        <item x="19"/>
        <item x="13"/>
        <item x="4"/>
        <item x="21"/>
        <item x="22"/>
        <item x="14"/>
        <item x="3"/>
        <item x="0"/>
        <item x="20"/>
        <item x="2"/>
        <item x="18"/>
        <item x="17"/>
        <item x="16"/>
        <item x="9"/>
        <item t="default"/>
      </items>
    </pivotField>
    <pivotField name="PARENT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M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NITARY_AS_BUIL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NS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ATER_AS_BUIL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BER_AS_BUILT" compact="0" outline="0" multipleItemSelectionAllowed="1" showAll="0">
      <items>
        <item x="0"/>
        <item x="1"/>
        <item x="2"/>
        <item t="default"/>
      </items>
    </pivotField>
    <pivotField name="STREET_LIGHT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IGNAL_AS_BUILT" compact="0" outline="0" multipleItemSelectionAllowed="1" showAll="0">
      <items>
        <item x="0"/>
        <item t="default"/>
      </items>
    </pivotField>
    <pivotField name="SIGN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ANDSCAPE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ERMIT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GENCY" compact="0" outline="0" multipleItemSelectionAllowed="1" showAll="0">
      <items>
        <item x="0"/>
        <item t="default"/>
      </items>
    </pivotField>
    <pivotField name="AGENCY_LINK" compact="0" outline="0" multipleItemSelectionAllowed="1" showAll="0">
      <items>
        <item x="0"/>
        <item t="default"/>
      </items>
    </pivotField>
    <pivotField name="PERMIT_CREATE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T_START_DATE" compact="0" outline="0" multipleItemSelectionAllowed="1" showAll="0">
      <items>
        <item x="0"/>
        <item t="default"/>
      </items>
    </pivotField>
    <pivotField name="ANT_COMP_DATE" compact="0" outline="0" multipleItemSelectionAllowed="1" showAll="0">
      <items>
        <item x="0"/>
        <item t="default"/>
      </items>
    </pivotField>
    <pivotField name="STATUS_CHANGE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RRANTY_START_DATE" compact="0" outline="0" multipleItemSelectionAllowed="1" showAll="0">
      <items>
        <item x="0"/>
        <item x="1"/>
        <item x="2"/>
        <item x="3"/>
        <item t="default"/>
      </items>
    </pivotField>
    <pivotField name="WARRANTY_END_DATE" compact="0" outline="0" multipleItemSelectionAllowed="1" showAll="0">
      <items>
        <item x="0"/>
        <item x="1"/>
        <item t="default"/>
      </items>
    </pivotField>
    <pivotField name="PROJECT_STATUS" compact="0" outline="0" multipleItemSelectionAllowed="1" showAll="0">
      <items>
        <item x="0"/>
        <item x="1"/>
        <item x="2"/>
        <item x="3"/>
        <item t="default"/>
      </items>
    </pivotField>
    <pivotField name="PROJECT_TYPE" compact="0" outline="0" multipleItemSelectionAllowed="1" showAll="0">
      <items>
        <item x="0"/>
        <item t="default"/>
      </items>
    </pivotField>
    <pivotField name="PROJECT_DESCRIP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JECT_PROGRAM" compact="0" outline="0" multipleItemSelectionAllowed="1" showAll="0">
      <items>
        <item x="0"/>
        <item x="1"/>
        <item t="default"/>
      </items>
    </pivotField>
    <pivotField name="WORK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t="default"/>
      </items>
    </pivotField>
    <pivotField name="IMPERVIOUS_SURFACE" compact="0" outline="0" multipleItemSelectionAllowed="1" showAll="0">
      <items>
        <item x="0"/>
        <item x="1"/>
        <item x="2"/>
        <item t="default"/>
      </items>
    </pivotField>
    <pivotField name="ENGINE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VELOP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racking_CreateID" compact="0" outline="0" multipleItemSelectionAllowed="1" showAll="0">
      <items>
        <item x="0"/>
        <item x="1"/>
        <item x="2"/>
        <item x="3"/>
        <item t="default"/>
      </items>
    </pivotField>
    <pivotField name="UTC_Create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acking_EditID" compact="0" outline="0" multipleItemSelectionAllowed="1" showAll="0">
      <items>
        <item x="0"/>
        <item t="default"/>
      </items>
    </pivotField>
    <pivotField name="UTC_Edi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lobal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hape__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hape__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UBLIC_ENGAGEMENT" compact="0" outline="0" multipleItemSelectionAllowed="1" showAll="0">
      <items>
        <item x="0"/>
        <item t="default"/>
      </items>
    </pivotField>
    <pivotField name="PUBLIC_FACING" compact="0" outline="0" multipleItemSelectionAllowed="1" showAll="0">
      <items>
        <item x="0"/>
        <item t="default"/>
      </items>
    </pivotField>
    <pivotField name="SITE_ADDRESS" compact="0" outline="0" multipleItemSelectionAllowed="1" showAll="0">
      <items>
        <item x="0"/>
        <item x="1"/>
        <item t="default"/>
      </items>
    </pivotField>
    <pivotField name="PW_INSPECTOR" compact="0" outline="0" multipleItemSelectionAllowed="1" showAll="0">
      <items>
        <item x="0"/>
        <item x="1"/>
        <item x="2"/>
        <item x="3"/>
        <item t="default"/>
      </items>
    </pivotField>
    <pivotField name="GEOMETRY_REPAIRED" compact="0" outline="0" multipleItemSelectionAllowed="1" showAll="0">
      <items>
        <item x="0"/>
        <item x="1"/>
        <item t="default"/>
      </items>
    </pivotField>
    <pivotField name="GEOMETRY_EMPTY_QA_FLAG" compact="0" outline="0" multipleItemSelectionAllowed="1" showAll="0">
      <items>
        <item x="0"/>
        <item t="default"/>
      </items>
    </pivotField>
    <pivotField name="GEOMETRY_QA_FLAG" compact="0" outline="0" multipleItemSelectionAllowed="1" showAll="0">
      <items>
        <item x="0"/>
        <item x="1"/>
        <item t="default"/>
      </items>
    </pivotField>
    <pivotField name="OBJECTID_DUPLICATE_QA_FLAG" compact="0" outline="0" multipleItemSelectionAllowed="1" showAll="0">
      <items>
        <item x="0"/>
        <item t="default"/>
      </items>
    </pivotField>
    <pivotField name="GLOBALID_DUPLICATE_QA_FLAG" compact="0" outline="0" multipleItemSelectionAllowed="1" showAll="0">
      <items>
        <item x="0"/>
        <item t="default"/>
      </items>
    </pivotField>
    <pivotField name="DATE_ORDER_QA_FLAG" compact="0" outline="0" multipleItemSelectionAllowed="1" showAll="0">
      <items>
        <item x="0"/>
        <item t="default"/>
      </items>
    </pivotField>
    <pivotField name="AGENCY_LABEL" compact="0" outline="0" multipleItemSelectionAllowed="1" showAll="0">
      <items>
        <item x="0"/>
        <item t="default"/>
      </items>
    </pivotField>
    <pivotField name="PROJECT_STATUS_LABEL" compact="0" outline="0" multipleItemSelectionAllowed="1" showAll="0">
      <items>
        <item x="0"/>
        <item x="1"/>
        <item x="2"/>
        <item t="default"/>
      </items>
    </pivotField>
    <pivotField name="PROJECT_TYPE_LABEL" compact="0" outline="0" multipleItemSelectionAllowed="1" showAll="0">
      <items>
        <item x="0"/>
        <item t="default"/>
      </items>
    </pivotField>
    <pivotField name="PROJECT_PROGRAM_LABEL" compact="0" outline="0" multipleItemSelectionAllowed="1" showAll="0">
      <items>
        <item x="0"/>
        <item x="1"/>
        <item t="default"/>
      </items>
    </pivotField>
    <pivotField name="WORK_CATEGORY_LAB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IC_FACING_LABEL" compact="0" outline="0" multipleItemSelectionAllowed="1" showAll="0">
      <items>
        <item x="0"/>
        <item t="default"/>
      </items>
    </pivotField>
    <pivotField name="PW_INSPECTOR_LABEL" compact="0" outline="0" multipleItemSelectionAllowed="1" showAll="0">
      <items>
        <item x="0"/>
        <item x="1"/>
        <item x="2"/>
        <item x="3"/>
        <item t="default"/>
      </items>
    </pivotField>
    <pivotField name="WATER_INSPECTOR_LABEL" compact="0" outline="0" multipleItemSelectionAllowed="1" showAll="0">
      <items>
        <item x="0"/>
        <item t="default"/>
      </items>
    </pivotField>
    <pivotField name="fid_2" compact="0" outline="0" multipleItemSelectionAllowed="1" showAll="0">
      <items>
        <item x="0"/>
        <item x="1"/>
        <item t="default"/>
      </items>
    </pivotField>
    <pivotField name="GlobalID_2" compact="0" outline="0" multipleItemSelectionAllowed="1" showAll="0">
      <items>
        <item x="0"/>
        <item x="1"/>
        <item t="default"/>
      </items>
    </pivotField>
    <pivotField name="Tracking_CreateID_2" compact="0" outline="0" multipleItemSelectionAllowed="1" showAll="0">
      <items>
        <item x="0"/>
        <item t="default"/>
      </items>
    </pivotField>
    <pivotField name="UTC_CreateDate_2" compact="0" outline="0" multipleItemSelectionAllowed="1" showAll="0">
      <items>
        <item x="0"/>
        <item t="default"/>
      </items>
    </pivotField>
    <pivotField name="Tracking_EditID_2" compact="0" outline="0" multipleItemSelectionAllowed="1" showAll="0">
      <items>
        <item x="0"/>
        <item t="default"/>
      </items>
    </pivotField>
    <pivotField name="UTC_EditDate_2" compact="0" outline="0" multipleItemSelectionAllowed="1" showAll="0">
      <items>
        <item x="0"/>
        <item x="1"/>
        <item t="default"/>
      </items>
    </pivotField>
    <pivotField name="OBJECTID_1" compact="0" outline="0" multipleItemSelectionAllowed="1" showAll="0">
      <items>
        <item x="0"/>
        <item x="1"/>
        <item t="default"/>
      </items>
    </pivotField>
    <pivotField name="DESCRIPTIO" compact="0" outline="0" multipleItemSelectionAllowed="1" showAll="0">
      <items>
        <item x="0"/>
        <item t="default"/>
      </items>
    </pivotField>
    <pivotField name="Shape__Area_2" compact="0" outline="0" multipleItemSelectionAllowed="1" showAll="0">
      <items>
        <item x="0"/>
        <item x="1"/>
        <item t="default"/>
      </items>
    </pivotField>
    <pivotField name="Shape__Length_2" compact="0" outline="0" multipleItemSelectionAllowed="1" showAll="0">
      <items>
        <item x="0"/>
        <item x="1"/>
        <item t="default"/>
      </items>
    </pivotField>
    <pivotField name="GEOMETRY_REPAIRED_2" compact="0" outline="0" multipleItemSelectionAllowed="1" showAll="0">
      <items>
        <item x="0"/>
        <item t="default"/>
      </items>
    </pivotField>
    <pivotField name="GEOMETRY_EMPTY_QA_FLAG_2" compact="0" outline="0" multipleItemSelectionAllowed="1" showAll="0">
      <items>
        <item x="0"/>
        <item t="default"/>
      </items>
    </pivotField>
    <pivotField name="GEOMETRY_QA_FLAG_2" compact="0" outline="0" multipleItemSelectionAllowed="1" showAll="0">
      <items>
        <item x="0"/>
        <item t="default"/>
      </items>
    </pivotField>
    <pivotField name="OBJECTID_DUPLICATE_QA_FLAG_2" compact="0" outline="0" multipleItemSelectionAllowed="1" showAll="0">
      <items>
        <item x="0"/>
        <item t="default"/>
      </items>
    </pivotField>
    <pivotField name="GLOBALID_DUPLICATE_QA_FLAG_2" compact="0" outline="0" multipleItemSelectionAllowed="1" showAll="0">
      <items>
        <item x="0"/>
        <item t="default"/>
      </items>
    </pivotField>
    <pivotField name="NEGATIVE_AREA_QA_FLAG" compact="0" outline="0" multipleItemSelectionAllowed="1" showAll="0">
      <items>
        <item x="0"/>
        <item t="default"/>
      </items>
    </pivotField>
    <pivotField name="DESCRIPTIO_LABEL" compact="0" outline="0" multipleItemSelectionAllowed="1" showAll="0">
      <items>
        <item x="0"/>
        <item t="default"/>
      </items>
    </pivotField>
    <pivotField name="INTERSECT_AC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3"/>
  </rowFields>
  <pageFields>
    <pageField fld="2"/>
  </pageFields>
  <dataFields>
    <dataField name="Sum of INTERSECT_ACRES" fld="74" baseField="0"/>
  </dataFields>
</pivotTableDefinition>
</file>

<file path=xl/pivotTables/pivotTable3.xml><?xml version="1.0" encoding="utf-8"?>
<pivotTableDefinition xmlns="http://schemas.openxmlformats.org/spreadsheetml/2006/main" name="Infrastructure Acreage" cacheId="0" dataCaption="" compact="0" compactData="0">
  <location ref="A3:B19" firstHeaderRow="0" firstDataRow="1" firstDataCol="0" rowPageCount="1" colPageCount="1"/>
  <pivotFields>
    <pivotField name="f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BJE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nalysis_Class" axis="axisPage" compact="0" outline="0" multipleItemSelectionAllowed="1" showAll="0">
      <items>
        <item h="1" x="0"/>
        <item x="1"/>
        <item h="1" x="2"/>
        <item t="default"/>
      </items>
    </pivotField>
    <pivotField name="NAME" axis="axisRow" compact="0" outline="0" multipleItemSelectionAllowed="1" showAll="0" sortType="ascending">
      <items>
        <item x="6"/>
        <item x="5"/>
        <item x="1"/>
        <item x="7"/>
        <item x="15"/>
        <item x="10"/>
        <item x="11"/>
        <item x="8"/>
        <item x="12"/>
        <item x="19"/>
        <item x="13"/>
        <item x="4"/>
        <item x="21"/>
        <item x="22"/>
        <item x="14"/>
        <item x="3"/>
        <item x="0"/>
        <item x="20"/>
        <item x="2"/>
        <item x="18"/>
        <item x="17"/>
        <item x="16"/>
        <item x="9"/>
        <item t="default"/>
      </items>
    </pivotField>
    <pivotField name="PARENT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M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NITARY_AS_BUIL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NS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ATER_AS_BUIL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BER_AS_BUILT" compact="0" outline="0" multipleItemSelectionAllowed="1" showAll="0">
      <items>
        <item x="0"/>
        <item x="1"/>
        <item x="2"/>
        <item t="default"/>
      </items>
    </pivotField>
    <pivotField name="STREET_LIGHT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IGNAL_AS_BUILT" compact="0" outline="0" multipleItemSelectionAllowed="1" showAll="0">
      <items>
        <item x="0"/>
        <item t="default"/>
      </items>
    </pivotField>
    <pivotField name="SIGN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ANDSCAPE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ERMIT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GENCY" compact="0" outline="0" multipleItemSelectionAllowed="1" showAll="0">
      <items>
        <item x="0"/>
        <item t="default"/>
      </items>
    </pivotField>
    <pivotField name="AGENCY_LINK" compact="0" outline="0" multipleItemSelectionAllowed="1" showAll="0">
      <items>
        <item x="0"/>
        <item t="default"/>
      </items>
    </pivotField>
    <pivotField name="PERMIT_CREATE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T_START_DATE" compact="0" outline="0" multipleItemSelectionAllowed="1" showAll="0">
      <items>
        <item x="0"/>
        <item t="default"/>
      </items>
    </pivotField>
    <pivotField name="ANT_COMP_DATE" compact="0" outline="0" multipleItemSelectionAllowed="1" showAll="0">
      <items>
        <item x="0"/>
        <item t="default"/>
      </items>
    </pivotField>
    <pivotField name="STATUS_CHANGE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RRANTY_START_DATE" compact="0" outline="0" multipleItemSelectionAllowed="1" showAll="0">
      <items>
        <item x="0"/>
        <item x="1"/>
        <item x="2"/>
        <item x="3"/>
        <item t="default"/>
      </items>
    </pivotField>
    <pivotField name="WARRANTY_END_DATE" compact="0" outline="0" multipleItemSelectionAllowed="1" showAll="0">
      <items>
        <item x="0"/>
        <item x="1"/>
        <item t="default"/>
      </items>
    </pivotField>
    <pivotField name="PROJECT_STATUS" compact="0" outline="0" multipleItemSelectionAllowed="1" showAll="0">
      <items>
        <item x="0"/>
        <item x="1"/>
        <item x="2"/>
        <item x="3"/>
        <item t="default"/>
      </items>
    </pivotField>
    <pivotField name="PROJECT_TYPE" compact="0" outline="0" multipleItemSelectionAllowed="1" showAll="0">
      <items>
        <item x="0"/>
        <item t="default"/>
      </items>
    </pivotField>
    <pivotField name="PROJECT_DESCRIP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JECT_PROGRAM" compact="0" outline="0" multipleItemSelectionAllowed="1" showAll="0">
      <items>
        <item x="0"/>
        <item x="1"/>
        <item t="default"/>
      </items>
    </pivotField>
    <pivotField name="WORK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t="default"/>
      </items>
    </pivotField>
    <pivotField name="IMPERVIOUS_SURFACE" compact="0" outline="0" multipleItemSelectionAllowed="1" showAll="0">
      <items>
        <item x="0"/>
        <item x="1"/>
        <item x="2"/>
        <item t="default"/>
      </items>
    </pivotField>
    <pivotField name="ENGINE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VELOP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racking_CreateID" compact="0" outline="0" multipleItemSelectionAllowed="1" showAll="0">
      <items>
        <item x="0"/>
        <item x="1"/>
        <item x="2"/>
        <item x="3"/>
        <item t="default"/>
      </items>
    </pivotField>
    <pivotField name="UTC_Create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racking_EditID" compact="0" outline="0" multipleItemSelectionAllowed="1" showAll="0">
      <items>
        <item x="0"/>
        <item t="default"/>
      </items>
    </pivotField>
    <pivotField name="UTC_Edi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lobal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hape__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hape__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UBLIC_ENGAGEMENT" compact="0" outline="0" multipleItemSelectionAllowed="1" showAll="0">
      <items>
        <item x="0"/>
        <item t="default"/>
      </items>
    </pivotField>
    <pivotField name="PUBLIC_FACING" compact="0" outline="0" multipleItemSelectionAllowed="1" showAll="0">
      <items>
        <item x="0"/>
        <item t="default"/>
      </items>
    </pivotField>
    <pivotField name="SITE_ADDRESS" compact="0" outline="0" multipleItemSelectionAllowed="1" showAll="0">
      <items>
        <item x="0"/>
        <item x="1"/>
        <item t="default"/>
      </items>
    </pivotField>
    <pivotField name="PW_INSPECTOR" compact="0" outline="0" multipleItemSelectionAllowed="1" showAll="0">
      <items>
        <item x="0"/>
        <item x="1"/>
        <item x="2"/>
        <item x="3"/>
        <item t="default"/>
      </items>
    </pivotField>
    <pivotField name="GEOMETRY_REPAIRED" compact="0" outline="0" multipleItemSelectionAllowed="1" showAll="0">
      <items>
        <item x="0"/>
        <item x="1"/>
        <item t="default"/>
      </items>
    </pivotField>
    <pivotField name="GEOMETRY_EMPTY_QA_FLAG" compact="0" outline="0" multipleItemSelectionAllowed="1" showAll="0">
      <items>
        <item x="0"/>
        <item t="default"/>
      </items>
    </pivotField>
    <pivotField name="GEOMETRY_QA_FLAG" compact="0" outline="0" multipleItemSelectionAllowed="1" showAll="0">
      <items>
        <item x="0"/>
        <item x="1"/>
        <item t="default"/>
      </items>
    </pivotField>
    <pivotField name="OBJECTID_DUPLICATE_QA_FLAG" compact="0" outline="0" multipleItemSelectionAllowed="1" showAll="0">
      <items>
        <item x="0"/>
        <item t="default"/>
      </items>
    </pivotField>
    <pivotField name="GLOBALID_DUPLICATE_QA_FLAG" compact="0" outline="0" multipleItemSelectionAllowed="1" showAll="0">
      <items>
        <item x="0"/>
        <item t="default"/>
      </items>
    </pivotField>
    <pivotField name="DATE_ORDER_QA_FLAG" compact="0" outline="0" multipleItemSelectionAllowed="1" showAll="0">
      <items>
        <item x="0"/>
        <item t="default"/>
      </items>
    </pivotField>
    <pivotField name="AGENCY_LABEL" compact="0" outline="0" multipleItemSelectionAllowed="1" showAll="0">
      <items>
        <item x="0"/>
        <item t="default"/>
      </items>
    </pivotField>
    <pivotField name="PROJECT_STATUS_LABEL" compact="0" outline="0" multipleItemSelectionAllowed="1" showAll="0">
      <items>
        <item x="0"/>
        <item x="1"/>
        <item x="2"/>
        <item t="default"/>
      </items>
    </pivotField>
    <pivotField name="PROJECT_TYPE_LABEL" compact="0" outline="0" multipleItemSelectionAllowed="1" showAll="0">
      <items>
        <item x="0"/>
        <item t="default"/>
      </items>
    </pivotField>
    <pivotField name="PROJECT_PROGRAM_LABEL" compact="0" outline="0" multipleItemSelectionAllowed="1" showAll="0">
      <items>
        <item x="0"/>
        <item x="1"/>
        <item t="default"/>
      </items>
    </pivotField>
    <pivotField name="WORK_CATEGORY_LAB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IC_FACING_LABEL" compact="0" outline="0" multipleItemSelectionAllowed="1" showAll="0">
      <items>
        <item x="0"/>
        <item t="default"/>
      </items>
    </pivotField>
    <pivotField name="PW_INSPECTOR_LABEL" compact="0" outline="0" multipleItemSelectionAllowed="1" showAll="0">
      <items>
        <item x="0"/>
        <item x="1"/>
        <item x="2"/>
        <item x="3"/>
        <item t="default"/>
      </items>
    </pivotField>
    <pivotField name="WATER_INSPECTOR_LABEL" compact="0" outline="0" multipleItemSelectionAllowed="1" showAll="0">
      <items>
        <item x="0"/>
        <item t="default"/>
      </items>
    </pivotField>
    <pivotField name="fid_2" compact="0" outline="0" multipleItemSelectionAllowed="1" showAll="0">
      <items>
        <item x="0"/>
        <item x="1"/>
        <item t="default"/>
      </items>
    </pivotField>
    <pivotField name="GlobalID_2" compact="0" outline="0" multipleItemSelectionAllowed="1" showAll="0">
      <items>
        <item x="0"/>
        <item x="1"/>
        <item t="default"/>
      </items>
    </pivotField>
    <pivotField name="Tracking_CreateID_2" compact="0" outline="0" multipleItemSelectionAllowed="1" showAll="0">
      <items>
        <item x="0"/>
        <item t="default"/>
      </items>
    </pivotField>
    <pivotField name="UTC_CreateDate_2" compact="0" outline="0" multipleItemSelectionAllowed="1" showAll="0">
      <items>
        <item x="0"/>
        <item t="default"/>
      </items>
    </pivotField>
    <pivotField name="Tracking_EditID_2" compact="0" outline="0" multipleItemSelectionAllowed="1" showAll="0">
      <items>
        <item x="0"/>
        <item t="default"/>
      </items>
    </pivotField>
    <pivotField name="UTC_EditDate_2" compact="0" outline="0" multipleItemSelectionAllowed="1" showAll="0">
      <items>
        <item x="0"/>
        <item x="1"/>
        <item t="default"/>
      </items>
    </pivotField>
    <pivotField name="OBJECTID_1" compact="0" outline="0" multipleItemSelectionAllowed="1" showAll="0">
      <items>
        <item x="0"/>
        <item x="1"/>
        <item t="default"/>
      </items>
    </pivotField>
    <pivotField name="DESCRIPTIO" compact="0" outline="0" multipleItemSelectionAllowed="1" showAll="0">
      <items>
        <item x="0"/>
        <item t="default"/>
      </items>
    </pivotField>
    <pivotField name="Shape__Area_2" compact="0" outline="0" multipleItemSelectionAllowed="1" showAll="0">
      <items>
        <item x="0"/>
        <item x="1"/>
        <item t="default"/>
      </items>
    </pivotField>
    <pivotField name="Shape__Length_2" compact="0" outline="0" multipleItemSelectionAllowed="1" showAll="0">
      <items>
        <item x="0"/>
        <item x="1"/>
        <item t="default"/>
      </items>
    </pivotField>
    <pivotField name="GEOMETRY_REPAIRED_2" compact="0" outline="0" multipleItemSelectionAllowed="1" showAll="0">
      <items>
        <item x="0"/>
        <item t="default"/>
      </items>
    </pivotField>
    <pivotField name="GEOMETRY_EMPTY_QA_FLAG_2" compact="0" outline="0" multipleItemSelectionAllowed="1" showAll="0">
      <items>
        <item x="0"/>
        <item t="default"/>
      </items>
    </pivotField>
    <pivotField name="GEOMETRY_QA_FLAG_2" compact="0" outline="0" multipleItemSelectionAllowed="1" showAll="0">
      <items>
        <item x="0"/>
        <item t="default"/>
      </items>
    </pivotField>
    <pivotField name="OBJECTID_DUPLICATE_QA_FLAG_2" compact="0" outline="0" multipleItemSelectionAllowed="1" showAll="0">
      <items>
        <item x="0"/>
        <item t="default"/>
      </items>
    </pivotField>
    <pivotField name="GLOBALID_DUPLICATE_QA_FLAG_2" compact="0" outline="0" multipleItemSelectionAllowed="1" showAll="0">
      <items>
        <item x="0"/>
        <item t="default"/>
      </items>
    </pivotField>
    <pivotField name="NEGATIVE_AREA_QA_FLAG" compact="0" outline="0" multipleItemSelectionAllowed="1" showAll="0">
      <items>
        <item x="0"/>
        <item t="default"/>
      </items>
    </pivotField>
    <pivotField name="DESCRIPTIO_LABEL" compact="0" outline="0" multipleItemSelectionAllowed="1" showAll="0">
      <items>
        <item x="0"/>
        <item t="default"/>
      </items>
    </pivotField>
    <pivotField name="INTERSECT_AC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3"/>
  </rowFields>
  <pageFields>
    <pageField fld="2"/>
  </pageFields>
  <dataFields>
    <dataField name="Sum of INTERSECT_ACRES" fld="74" baseField="0"/>
  </dataFields>
</pivotTableDefinition>
</file>

<file path=xl/pivotTables/pivotTable4.xml><?xml version="1.0" encoding="utf-8"?>
<pivotTableDefinition xmlns="http://schemas.openxmlformats.org/spreadsheetml/2006/main" name="Acreage by Analysis Class" cacheId="1" dataCaption="" rowGrandTotals="0" compact="0" compactData="0">
  <location ref="A1:B5" firstHeaderRow="0" firstDataRow="1" firstDataCol="0"/>
  <pivotFields>
    <pivotField name="f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BJE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nalysis_Class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ARENT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M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NITARY_AS_BUIL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NS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ATER_AS_BUIL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BER_AS_BUILT" compact="0" outline="0" multipleItemSelectionAllowed="1" showAll="0">
      <items>
        <item x="0"/>
        <item x="1"/>
        <item x="2"/>
        <item t="default"/>
      </items>
    </pivotField>
    <pivotField name="STREET_LIGHT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IGNAL_AS_BUILT" compact="0" outline="0" multipleItemSelectionAllowed="1" showAll="0">
      <items>
        <item x="0"/>
        <item t="default"/>
      </items>
    </pivotField>
    <pivotField name="SIGN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ANDSCAPE_AS_BUIL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ERMIT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GENCY" compact="0" outline="0" multipleItemSelectionAllowed="1" showAll="0">
      <items>
        <item x="0"/>
        <item x="1"/>
        <item t="default"/>
      </items>
    </pivotField>
    <pivotField name="AGENCY_LINK" compact="0" outline="0" multipleItemSelectionAllowed="1" showAll="0">
      <items>
        <item x="0"/>
        <item t="default"/>
      </items>
    </pivotField>
    <pivotField name="PERMIT_CREATE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NT_START_DATE" compact="0" outline="0" multipleItemSelectionAllowed="1" showAll="0">
      <items>
        <item x="0"/>
        <item x="1"/>
        <item t="default"/>
      </items>
    </pivotField>
    <pivotField name="ANT_COMP_DATE" compact="0" outline="0" multipleItemSelectionAllowed="1" showAll="0">
      <items>
        <item x="0"/>
        <item t="default"/>
      </items>
    </pivotField>
    <pivotField name="STATUS_CHANGE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WARRANTY_START_DATE" compact="0" outline="0" multipleItemSelectionAllowed="1" showAll="0">
      <items>
        <item x="0"/>
        <item x="1"/>
        <item x="2"/>
        <item x="3"/>
        <item t="default"/>
      </items>
    </pivotField>
    <pivotField name="WARRANTY_END_DATE" compact="0" outline="0" multipleItemSelectionAllowed="1" showAll="0">
      <items>
        <item x="0"/>
        <item x="1"/>
        <item t="default"/>
      </items>
    </pivotField>
    <pivotField name="PROJECT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JECT_TYPE" compact="0" outline="0" multipleItemSelectionAllowed="1" showAll="0">
      <items>
        <item x="0"/>
        <item x="1"/>
        <item t="default"/>
      </items>
    </pivotField>
    <pivotField name="PROJECT_DESCRIP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JECT_PROGRAM" compact="0" outline="0" multipleItemSelectionAllowed="1" showAll="0">
      <items>
        <item x="0"/>
        <item x="1"/>
        <item t="default"/>
      </items>
    </pivotField>
    <pivotField name="WORK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t="default"/>
      </items>
    </pivotField>
    <pivotField name="IMPERVIOUS_SURFACE" compact="0" outline="0" multipleItemSelectionAllowed="1" showAll="0">
      <items>
        <item x="0"/>
        <item x="1"/>
        <item x="2"/>
        <item t="default"/>
      </items>
    </pivotField>
    <pivotField name="ENGINE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VELOP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racking_Creat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TC_Create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racking_EditID" compact="0" outline="0" multipleItemSelectionAllowed="1" showAll="0">
      <items>
        <item x="0"/>
        <item x="1"/>
        <item t="default"/>
      </items>
    </pivotField>
    <pivotField name="UTC_Edit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lobal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hape__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hape__Leng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UBLIC_ENGAGEMENT" compact="0" outline="0" multipleItemSelectionAllowed="1" showAll="0">
      <items>
        <item x="0"/>
        <item t="default"/>
      </items>
    </pivotField>
    <pivotField name="PUBLIC_FACING" compact="0" outline="0" multipleItemSelectionAllowed="1" showAll="0">
      <items>
        <item x="0"/>
        <item x="1"/>
        <item t="default"/>
      </items>
    </pivotField>
    <pivotField name="SITE_ADDRESS" compact="0" outline="0" multipleItemSelectionAllowed="1" showAll="0">
      <items>
        <item x="0"/>
        <item x="1"/>
        <item t="default"/>
      </items>
    </pivotField>
    <pivotField name="PW_INSPECTOR" compact="0" outline="0" multipleItemSelectionAllowed="1" showAll="0">
      <items>
        <item x="0"/>
        <item x="1"/>
        <item x="2"/>
        <item x="3"/>
        <item t="default"/>
      </items>
    </pivotField>
    <pivotField name="GEOMETRY_REPAIRED" compact="0" outline="0" multipleItemSelectionAllowed="1" showAll="0">
      <items>
        <item x="0"/>
        <item x="1"/>
        <item x="2"/>
        <item t="default"/>
      </items>
    </pivotField>
    <pivotField name="GEOMETRY_EMPTY_QA_FLAG" compact="0" outline="0" multipleItemSelectionAllowed="1" showAll="0">
      <items>
        <item x="0"/>
        <item x="1"/>
        <item t="default"/>
      </items>
    </pivotField>
    <pivotField name="GEOMETRY_QA_FLAG" compact="0" outline="0" multipleItemSelectionAllowed="1" showAll="0">
      <items>
        <item x="0"/>
        <item x="1"/>
        <item x="2"/>
        <item t="default"/>
      </items>
    </pivotField>
    <pivotField name="OBJECTID_DUPLICATE_QA_FLAG" compact="0" outline="0" multipleItemSelectionAllowed="1" showAll="0">
      <items>
        <item x="0"/>
        <item x="1"/>
        <item t="default"/>
      </items>
    </pivotField>
    <pivotField name="GLOBALID_DUPLICATE_QA_FLAG" compact="0" outline="0" multipleItemSelectionAllowed="1" showAll="0">
      <items>
        <item x="0"/>
        <item x="1"/>
        <item t="default"/>
      </items>
    </pivotField>
    <pivotField name="DATE_ORDER_QA_FLAG" compact="0" outline="0" multipleItemSelectionAllowed="1" showAll="0">
      <items>
        <item x="0"/>
        <item x="1"/>
        <item t="default"/>
      </items>
    </pivotField>
    <pivotField name="AGENCY_LABEL" compact="0" outline="0" multipleItemSelectionAllowed="1" showAll="0">
      <items>
        <item x="0"/>
        <item x="1"/>
        <item t="default"/>
      </items>
    </pivotField>
    <pivotField name="PROJECT_STATUS_LABEL" compact="0" outline="0" multipleItemSelectionAllowed="1" showAll="0">
      <items>
        <item x="0"/>
        <item x="1"/>
        <item x="2"/>
        <item t="default"/>
      </items>
    </pivotField>
    <pivotField name="PROJECT_TYPE_LABEL" compact="0" outline="0" multipleItemSelectionAllowed="1" showAll="0">
      <items>
        <item x="0"/>
        <item t="default"/>
      </items>
    </pivotField>
    <pivotField name="PROJECT_PROGRAM_LABEL" compact="0" outline="0" multipleItemSelectionAllowed="1" showAll="0">
      <items>
        <item x="0"/>
        <item x="1"/>
        <item t="default"/>
      </items>
    </pivotField>
    <pivotField name="WORK_CATEGORY_LAB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IC_FACING_LABEL" compact="0" outline="0" multipleItemSelectionAllowed="1" showAll="0">
      <items>
        <item x="0"/>
        <item x="1"/>
        <item t="default"/>
      </items>
    </pivotField>
    <pivotField name="PW_INSPECTOR_LABEL" compact="0" outline="0" multipleItemSelectionAllowed="1" showAll="0">
      <items>
        <item x="0"/>
        <item x="1"/>
        <item x="2"/>
        <item x="3"/>
        <item t="default"/>
      </items>
    </pivotField>
    <pivotField name="WATER_INSPECTOR_LABEL" compact="0" outline="0" multipleItemSelectionAllowed="1" showAll="0">
      <items>
        <item x="0"/>
        <item t="default"/>
      </items>
    </pivotField>
    <pivotField name="fid_2" compact="0" outline="0" multipleItemSelectionAllowed="1" showAll="0">
      <items>
        <item x="0"/>
        <item x="1"/>
        <item x="2"/>
        <item t="default"/>
      </items>
    </pivotField>
    <pivotField name="GlobalID_2" compact="0" outline="0" multipleItemSelectionAllowed="1" showAll="0">
      <items>
        <item x="0"/>
        <item x="1"/>
        <item x="2"/>
        <item t="default"/>
      </items>
    </pivotField>
    <pivotField name="Tracking_CreateID_2" compact="0" outline="0" multipleItemSelectionAllowed="1" showAll="0">
      <items>
        <item x="0"/>
        <item t="default"/>
      </items>
    </pivotField>
    <pivotField name="UTC_CreateDate_2" compact="0" outline="0" multipleItemSelectionAllowed="1" showAll="0">
      <items>
        <item x="0"/>
        <item t="default"/>
      </items>
    </pivotField>
    <pivotField name="Tracking_EditID_2" compact="0" outline="0" multipleItemSelectionAllowed="1" showAll="0">
      <items>
        <item x="0"/>
        <item x="1"/>
        <item t="default"/>
      </items>
    </pivotField>
    <pivotField name="UTC_EditDate_2" compact="0" outline="0" multipleItemSelectionAllowed="1" showAll="0">
      <items>
        <item x="0"/>
        <item x="1"/>
        <item x="2"/>
        <item t="default"/>
      </items>
    </pivotField>
    <pivotField name="OBJECTID_1" compact="0" outline="0" multipleItemSelectionAllowed="1" showAll="0">
      <items>
        <item x="0"/>
        <item x="1"/>
        <item x="2"/>
        <item t="default"/>
      </items>
    </pivotField>
    <pivotField name="DESCRIPTIO" compact="0" outline="0" multipleItemSelectionAllowed="1" showAll="0">
      <items>
        <item x="0"/>
        <item x="1"/>
        <item t="default"/>
      </items>
    </pivotField>
    <pivotField name="Shape__Area_2" compact="0" outline="0" multipleItemSelectionAllowed="1" showAll="0">
      <items>
        <item x="0"/>
        <item x="1"/>
        <item x="2"/>
        <item t="default"/>
      </items>
    </pivotField>
    <pivotField name="Shape__Length_2" compact="0" outline="0" multipleItemSelectionAllowed="1" showAll="0">
      <items>
        <item x="0"/>
        <item x="1"/>
        <item x="2"/>
        <item t="default"/>
      </items>
    </pivotField>
    <pivotField name="GEOMETRY_REPAIRED_2" compact="0" outline="0" multipleItemSelectionAllowed="1" showAll="0">
      <items>
        <item x="0"/>
        <item x="1"/>
        <item t="default"/>
      </items>
    </pivotField>
    <pivotField name="GEOMETRY_EMPTY_QA_FLAG_2" compact="0" outline="0" multipleItemSelectionAllowed="1" showAll="0">
      <items>
        <item x="0"/>
        <item x="1"/>
        <item t="default"/>
      </items>
    </pivotField>
    <pivotField name="GEOMETRY_QA_FLAG_2" compact="0" outline="0" multipleItemSelectionAllowed="1" showAll="0">
      <items>
        <item x="0"/>
        <item x="1"/>
        <item t="default"/>
      </items>
    </pivotField>
    <pivotField name="OBJECTID_DUPLICATE_QA_FLAG_2" compact="0" outline="0" multipleItemSelectionAllowed="1" showAll="0">
      <items>
        <item x="0"/>
        <item x="1"/>
        <item t="default"/>
      </items>
    </pivotField>
    <pivotField name="GLOBALID_DUPLICATE_QA_FLAG_2" compact="0" outline="0" multipleItemSelectionAllowed="1" showAll="0">
      <items>
        <item x="0"/>
        <item x="1"/>
        <item t="default"/>
      </items>
    </pivotField>
    <pivotField name="NEGATIVE_AREA_QA_FLAG" compact="0" outline="0" multipleItemSelectionAllowed="1" showAll="0">
      <items>
        <item x="0"/>
        <item x="1"/>
        <item t="default"/>
      </items>
    </pivotField>
    <pivotField name="DESCRIPTIO_LABEL" compact="0" outline="0" multipleItemSelectionAllowed="1" showAll="0">
      <items>
        <item x="0"/>
        <item x="1"/>
        <item t="default"/>
      </items>
    </pivotField>
    <pivotField name="INTERSECT_AC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2"/>
  </rowFields>
  <dataFields>
    <dataField name="SUM of INTERSECT_ACRES" fld="74" baseField="0"/>
  </dataFields>
</pivotTableDefinition>
</file>

<file path=xl/tables/table1.xml><?xml version="1.0" encoding="utf-8"?>
<table xmlns="http://schemas.openxmlformats.org/spreadsheetml/2006/main" ref="A1:BW24" displayName="Table1" name="Table1" id="1">
  <tableColumns count="75">
    <tableColumn name="fid" id="1"/>
    <tableColumn name="OBJECTID" id="2"/>
    <tableColumn name="Analysis_Class" id="3"/>
    <tableColumn name="NAME" id="4"/>
    <tableColumn name="PARENT_AS_BUILT" id="5"/>
    <tableColumn name="STORM_AS_BUILT" id="6"/>
    <tableColumn name="SANITARY_AS_BUILT" id="7"/>
    <tableColumn name="TRANS_AS_BUILT" id="8"/>
    <tableColumn name="WATER_AS_BUILT" id="9"/>
    <tableColumn name="FIBER_AS_BUILT" id="10"/>
    <tableColumn name="STREET_LIGHT_AS_BUILT" id="11"/>
    <tableColumn name="SIGNAL_AS_BUILT" id="12"/>
    <tableColumn name="SIGN_AS_BUILT" id="13"/>
    <tableColumn name="LANDSCAPE_AS_BUILT" id="14"/>
    <tableColumn name="PERMIT_NUMBER" id="15"/>
    <tableColumn name="AGENCY" id="16"/>
    <tableColumn name="AGENCY_LINK" id="17"/>
    <tableColumn name="PERMIT_CREATE_DATE" id="18"/>
    <tableColumn name="ANT_START_DATE" id="19"/>
    <tableColumn name="ANT_COMP_DATE" id="20"/>
    <tableColumn name="STATUS_CHANGE_DATE" id="21"/>
    <tableColumn name="WARRANTY_START_DATE" id="22"/>
    <tableColumn name="WARRANTY_END_DATE" id="23"/>
    <tableColumn name="PROJECT_STATUS" id="24"/>
    <tableColumn name="PROJECT_TYPE" id="25"/>
    <tableColumn name="PROJECT_DESCRIPTION" id="26"/>
    <tableColumn name="PROJECT_PROGRAM" id="27"/>
    <tableColumn name="WORK_CATEGORY" id="28"/>
    <tableColumn name="COMMENTS" id="29"/>
    <tableColumn name="IMPERVIOUS_SURFACE" id="30"/>
    <tableColumn name="ENGINEER" id="31"/>
    <tableColumn name="DEVELOPER" id="32"/>
    <tableColumn name="Tracking_CreateID" id="33"/>
    <tableColumn name="UTC_CreateDate" id="34"/>
    <tableColumn name="Tracking_EditID" id="35"/>
    <tableColumn name="UTC_EditDate" id="36"/>
    <tableColumn name="GlobalID" id="37"/>
    <tableColumn name="Shape__Area" id="38"/>
    <tableColumn name="Shape__Length" id="39"/>
    <tableColumn name="PUBLIC_ENGAGEMENT" id="40"/>
    <tableColumn name="PUBLIC_FACING" id="41"/>
    <tableColumn name="SITE_ADDRESS" id="42"/>
    <tableColumn name="PW_INSPECTOR" id="43"/>
    <tableColumn name="GEOMETRY_REPAIRED" id="44"/>
    <tableColumn name="GEOMETRY_EMPTY_QA_FLAG" id="45"/>
    <tableColumn name="GEOMETRY_QA_FLAG" id="46"/>
    <tableColumn name="OBJECTID_DUPLICATE_QA_FLAG" id="47"/>
    <tableColumn name="GLOBALID_DUPLICATE_QA_FLAG" id="48"/>
    <tableColumn name="DATE_ORDER_QA_FLAG" id="49"/>
    <tableColumn name="AGENCY_LABEL" id="50"/>
    <tableColumn name="PROJECT_STATUS_LABEL" id="51"/>
    <tableColumn name="PROJECT_TYPE_LABEL" id="52"/>
    <tableColumn name="PROJECT_PROGRAM_LABEL" id="53"/>
    <tableColumn name="WORK_CATEGORY_LABEL" id="54"/>
    <tableColumn name="PUBLIC_FACING_LABEL" id="55"/>
    <tableColumn name="PW_INSPECTOR_LABEL" id="56"/>
    <tableColumn name="WATER_INSPECTOR_LABEL" id="57"/>
    <tableColumn name="fid_2" id="58"/>
    <tableColumn name="GlobalID_2" id="59"/>
    <tableColumn name="Tracking_CreateID_2" id="60"/>
    <tableColumn name="UTC_CreateDate_2" id="61"/>
    <tableColumn name="Tracking_EditID_2" id="62"/>
    <tableColumn name="UTC_EditDate_2" id="63"/>
    <tableColumn name="OBJECTID_1" id="64"/>
    <tableColumn name="DESCRIPTIO" id="65"/>
    <tableColumn name="Shape__Area_2" id="66"/>
    <tableColumn name="Shape__Length_2" id="67"/>
    <tableColumn name="GEOMETRY_REPAIRED_2" id="68"/>
    <tableColumn name="GEOMETRY_EMPTY_QA_FLAG_2" id="69"/>
    <tableColumn name="GEOMETRY_QA_FLAG_2" id="70"/>
    <tableColumn name="OBJECTID_DUPLICATE_QA_FLAG_2" id="71"/>
    <tableColumn name="GLOBALID_DUPLICATE_QA_FLAG_2" id="72"/>
    <tableColumn name="NEGATIVE_AREA_QA_FLAG" id="73"/>
    <tableColumn name="DESCRIPTIO_LABEL" id="74"/>
    <tableColumn name="INTERSECT_ACRES" id="75"/>
  </tableColumns>
  <tableStyleInfo name="REL-001 Devind Industiral San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0"/>
    <col customWidth="1" min="3" max="3" width="20.63"/>
    <col customWidth="1" min="4" max="4" width="52.75"/>
    <col customWidth="1" min="5" max="5" width="20.63"/>
    <col customWidth="1" min="6" max="6" width="19.88"/>
    <col customWidth="1" min="7" max="7" width="22.38"/>
    <col customWidth="1" min="8" max="8" width="19.38"/>
    <col customWidth="1" min="9" max="9" width="19.88"/>
    <col customWidth="1" min="10" max="10" width="18.63"/>
    <col customWidth="1" min="11" max="11" width="26.88"/>
    <col customWidth="1" min="12" max="12" width="20.13"/>
    <col customWidth="1" min="13" max="13" width="17.75"/>
    <col customWidth="1" min="14" max="14" width="24.38"/>
    <col customWidth="1" min="15" max="15" width="19.0"/>
    <col customWidth="1" min="16" max="16" width="15.0"/>
    <col customWidth="1" min="17" max="17" width="16.0"/>
    <col customWidth="1" min="18" max="18" width="24.25"/>
    <col customWidth="1" min="19" max="19" width="19.88"/>
    <col customWidth="1" min="20" max="20" width="19.25"/>
    <col customWidth="1" min="21" max="21" width="25.13"/>
    <col customWidth="1" min="22" max="22" width="26.75"/>
    <col customWidth="1" min="23" max="23" width="24.25"/>
    <col customWidth="1" min="24" max="24" width="20.13"/>
    <col customWidth="1" min="25" max="25" width="17.38"/>
    <col customWidth="1" min="26" max="26" width="25.25"/>
    <col customWidth="1" min="27" max="27" width="22.25"/>
    <col customWidth="1" min="28" max="28" width="20.13"/>
    <col customWidth="1" min="29" max="29" width="15.0"/>
    <col customWidth="1" min="30" max="30" width="24.63"/>
    <col customWidth="1" min="31" max="31" width="40.13"/>
    <col customWidth="1" min="32" max="32" width="43.13"/>
    <col customWidth="1" min="33" max="33" width="19.88"/>
    <col customWidth="1" min="34" max="34" width="19.63"/>
    <col customWidth="1" min="35" max="35" width="17.25"/>
    <col customWidth="1" min="36" max="36" width="15.38"/>
    <col customWidth="1" min="37" max="37" width="15.0"/>
    <col customWidth="1" min="38" max="38" width="15.25"/>
    <col customWidth="1" min="39" max="39" width="17.25"/>
    <col customWidth="1" min="40" max="40" width="23.88"/>
    <col customWidth="1" min="41" max="41" width="18.0"/>
    <col customWidth="1" min="42" max="42" width="17.13"/>
    <col customWidth="1" min="43" max="43" width="18.0"/>
    <col customWidth="1" min="44" max="44" width="23.75"/>
    <col customWidth="1" min="45" max="45" width="30.38"/>
    <col customWidth="1" min="46" max="46" width="23.13"/>
    <col customWidth="1" min="47" max="47" width="33.38"/>
    <col customWidth="1" min="48" max="48" width="33.88"/>
    <col customWidth="1" min="49" max="49" width="25.13"/>
    <col customWidth="1" min="50" max="50" width="17.75"/>
    <col customWidth="1" min="51" max="51" width="27.13"/>
    <col customWidth="1" min="52" max="52" width="24.38"/>
    <col customWidth="1" min="53" max="53" width="30.88"/>
    <col customWidth="1" min="54" max="54" width="40.13"/>
    <col customWidth="1" min="55" max="56" width="25.0"/>
    <col customWidth="1" min="57" max="57" width="28.63"/>
    <col customWidth="1" min="58" max="59" width="15.0"/>
    <col customWidth="1" min="60" max="60" width="21.88"/>
    <col customWidth="1" min="61" max="61" width="20.0"/>
    <col customWidth="1" min="62" max="62" width="19.25"/>
    <col customWidth="1" min="63" max="63" width="19.63"/>
    <col customWidth="1" min="64" max="65" width="15.0"/>
    <col customWidth="1" min="66" max="66" width="17.25"/>
    <col customWidth="1" min="67" max="67" width="19.25"/>
    <col customWidth="1" min="68" max="68" width="25.75"/>
    <col customWidth="1" min="69" max="69" width="32.38"/>
    <col customWidth="1" min="70" max="70" width="25.13"/>
    <col customWidth="1" min="71" max="71" width="35.38"/>
    <col customWidth="1" min="72" max="72" width="35.88"/>
    <col customWidth="1" min="73" max="73" width="28.13"/>
    <col customWidth="1" min="74" max="74" width="21.38"/>
    <col customWidth="1" min="75" max="75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>
      <c r="A2" s="2">
        <v>268.0</v>
      </c>
      <c r="B2" s="2">
        <v>2030.0</v>
      </c>
      <c r="C2" s="3" t="s">
        <v>75</v>
      </c>
      <c r="D2" s="2" t="s">
        <v>76</v>
      </c>
      <c r="O2" s="2" t="s">
        <v>77</v>
      </c>
      <c r="P2" s="2" t="s">
        <v>78</v>
      </c>
      <c r="R2" s="2" t="s">
        <v>79</v>
      </c>
      <c r="S2" s="2" t="s">
        <v>80</v>
      </c>
      <c r="U2" s="2" t="s">
        <v>81</v>
      </c>
      <c r="X2" s="2" t="s">
        <v>82</v>
      </c>
      <c r="Y2" s="2" t="s">
        <v>83</v>
      </c>
      <c r="Z2" s="2" t="s">
        <v>84</v>
      </c>
      <c r="AB2" s="2" t="s">
        <v>85</v>
      </c>
      <c r="AE2" s="2" t="s">
        <v>86</v>
      </c>
      <c r="AF2" s="2" t="s">
        <v>87</v>
      </c>
      <c r="AG2" s="2" t="s">
        <v>88</v>
      </c>
      <c r="AH2" s="2" t="s">
        <v>89</v>
      </c>
      <c r="AI2" s="2" t="s">
        <v>90</v>
      </c>
      <c r="AJ2" s="2" t="s">
        <v>91</v>
      </c>
      <c r="AK2" s="2" t="s">
        <v>92</v>
      </c>
      <c r="AL2" s="2">
        <v>2.149049100112801E-5</v>
      </c>
      <c r="AM2" s="2">
        <v>0.01881040082762302</v>
      </c>
      <c r="AO2" s="2" t="s">
        <v>93</v>
      </c>
      <c r="AQ2" s="2" t="s">
        <v>94</v>
      </c>
      <c r="AR2" s="2" t="s">
        <v>95</v>
      </c>
      <c r="AS2" s="2" t="s">
        <v>95</v>
      </c>
      <c r="AT2" s="2" t="s">
        <v>95</v>
      </c>
      <c r="AU2" s="2" t="s">
        <v>95</v>
      </c>
      <c r="AV2" s="2" t="s">
        <v>95</v>
      </c>
      <c r="AW2" s="2" t="s">
        <v>95</v>
      </c>
      <c r="AX2" s="2" t="s">
        <v>96</v>
      </c>
      <c r="AY2" s="2" t="s">
        <v>97</v>
      </c>
      <c r="BC2" s="2" t="s">
        <v>93</v>
      </c>
      <c r="BD2" s="2" t="s">
        <v>98</v>
      </c>
      <c r="BF2" s="2">
        <v>214.0</v>
      </c>
      <c r="BG2" s="2" t="s">
        <v>99</v>
      </c>
      <c r="BJ2" s="2" t="s">
        <v>100</v>
      </c>
      <c r="BK2" s="2" t="s">
        <v>101</v>
      </c>
      <c r="BL2" s="2">
        <v>923.0</v>
      </c>
      <c r="BM2" s="2" t="s">
        <v>102</v>
      </c>
      <c r="BN2" s="2">
        <v>4.625055412523788E7</v>
      </c>
      <c r="BO2" s="2">
        <v>63465.66997241383</v>
      </c>
      <c r="BP2" s="2" t="s">
        <v>95</v>
      </c>
      <c r="BQ2" s="2" t="s">
        <v>95</v>
      </c>
      <c r="BR2" s="2" t="s">
        <v>95</v>
      </c>
      <c r="BS2" s="2" t="s">
        <v>95</v>
      </c>
      <c r="BT2" s="2" t="s">
        <v>95</v>
      </c>
      <c r="BU2" s="2" t="s">
        <v>95</v>
      </c>
      <c r="BV2" s="2" t="s">
        <v>103</v>
      </c>
      <c r="BW2" s="2">
        <v>4.273199622704494</v>
      </c>
    </row>
    <row r="3">
      <c r="A3" s="2">
        <v>277.0</v>
      </c>
      <c r="B3" s="2">
        <v>2277.0</v>
      </c>
      <c r="C3" s="3" t="s">
        <v>104</v>
      </c>
      <c r="D3" s="2" t="s">
        <v>105</v>
      </c>
      <c r="O3" s="2" t="s">
        <v>106</v>
      </c>
      <c r="P3" s="2" t="s">
        <v>78</v>
      </c>
      <c r="R3" s="2" t="s">
        <v>107</v>
      </c>
      <c r="S3" s="2" t="s">
        <v>80</v>
      </c>
      <c r="U3" s="2" t="s">
        <v>107</v>
      </c>
      <c r="X3" s="2" t="s">
        <v>108</v>
      </c>
      <c r="Y3" s="2" t="s">
        <v>83</v>
      </c>
      <c r="Z3" s="2" t="s">
        <v>109</v>
      </c>
      <c r="AB3" s="2" t="s">
        <v>85</v>
      </c>
      <c r="AE3" s="2" t="s">
        <v>110</v>
      </c>
      <c r="AF3" s="2" t="s">
        <v>111</v>
      </c>
      <c r="AG3" s="2" t="s">
        <v>90</v>
      </c>
      <c r="AH3" s="2" t="s">
        <v>112</v>
      </c>
      <c r="AI3" s="2" t="s">
        <v>90</v>
      </c>
      <c r="AJ3" s="2" t="s">
        <v>113</v>
      </c>
      <c r="AK3" s="2" t="s">
        <v>114</v>
      </c>
      <c r="AL3" s="2">
        <v>1.62872260373965E-5</v>
      </c>
      <c r="AM3" s="2">
        <v>0.01612324924401329</v>
      </c>
      <c r="AO3" s="2" t="s">
        <v>93</v>
      </c>
      <c r="AP3" s="2" t="s">
        <v>115</v>
      </c>
      <c r="AR3" s="2" t="s">
        <v>95</v>
      </c>
      <c r="AS3" s="2" t="s">
        <v>95</v>
      </c>
      <c r="AT3" s="2" t="s">
        <v>95</v>
      </c>
      <c r="AU3" s="2" t="s">
        <v>95</v>
      </c>
      <c r="AV3" s="2" t="s">
        <v>95</v>
      </c>
      <c r="AW3" s="2" t="s">
        <v>95</v>
      </c>
      <c r="AX3" s="2" t="s">
        <v>96</v>
      </c>
      <c r="AY3" s="2" t="s">
        <v>116</v>
      </c>
      <c r="BC3" s="2" t="s">
        <v>93</v>
      </c>
      <c r="BF3" s="2">
        <v>214.0</v>
      </c>
      <c r="BG3" s="2" t="s">
        <v>99</v>
      </c>
      <c r="BJ3" s="2" t="s">
        <v>100</v>
      </c>
      <c r="BK3" s="2" t="s">
        <v>101</v>
      </c>
      <c r="BL3" s="2">
        <v>923.0</v>
      </c>
      <c r="BM3" s="2" t="s">
        <v>102</v>
      </c>
      <c r="BN3" s="2">
        <v>4.625055412523788E7</v>
      </c>
      <c r="BO3" s="2">
        <v>63465.66997241383</v>
      </c>
      <c r="BP3" s="2" t="s">
        <v>95</v>
      </c>
      <c r="BQ3" s="2" t="s">
        <v>95</v>
      </c>
      <c r="BR3" s="2" t="s">
        <v>95</v>
      </c>
      <c r="BS3" s="2" t="s">
        <v>95</v>
      </c>
      <c r="BT3" s="2" t="s">
        <v>95</v>
      </c>
      <c r="BU3" s="2" t="s">
        <v>95</v>
      </c>
      <c r="BV3" s="2" t="s">
        <v>103</v>
      </c>
      <c r="BW3" s="2">
        <v>3.244535186066211</v>
      </c>
    </row>
    <row r="4">
      <c r="A4" s="2">
        <v>145.0</v>
      </c>
      <c r="B4" s="2">
        <v>1913.0</v>
      </c>
      <c r="C4" s="3" t="s">
        <v>117</v>
      </c>
      <c r="D4" s="2" t="s">
        <v>118</v>
      </c>
      <c r="O4" s="2" t="s">
        <v>119</v>
      </c>
      <c r="P4" s="2" t="s">
        <v>78</v>
      </c>
      <c r="R4" s="2" t="s">
        <v>120</v>
      </c>
      <c r="S4" s="2" t="s">
        <v>80</v>
      </c>
      <c r="U4" s="2" t="s">
        <v>121</v>
      </c>
      <c r="X4" s="2" t="s">
        <v>108</v>
      </c>
      <c r="Y4" s="2" t="s">
        <v>83</v>
      </c>
      <c r="AB4" s="2" t="s">
        <v>85</v>
      </c>
      <c r="AG4" s="2" t="s">
        <v>122</v>
      </c>
      <c r="AH4" s="2" t="s">
        <v>123</v>
      </c>
      <c r="AI4" s="2" t="s">
        <v>90</v>
      </c>
      <c r="AJ4" s="2" t="s">
        <v>124</v>
      </c>
      <c r="AK4" s="2" t="s">
        <v>125</v>
      </c>
      <c r="AL4" s="2">
        <v>1.22139934374775E-5</v>
      </c>
      <c r="AM4" s="2">
        <v>0.01658435482145709</v>
      </c>
      <c r="AO4" s="2" t="s">
        <v>93</v>
      </c>
      <c r="AR4" s="2" t="s">
        <v>95</v>
      </c>
      <c r="AS4" s="2" t="s">
        <v>95</v>
      </c>
      <c r="AT4" s="2" t="s">
        <v>95</v>
      </c>
      <c r="AU4" s="2" t="s">
        <v>95</v>
      </c>
      <c r="AV4" s="2" t="s">
        <v>95</v>
      </c>
      <c r="AW4" s="2" t="s">
        <v>95</v>
      </c>
      <c r="AX4" s="2" t="s">
        <v>96</v>
      </c>
      <c r="AY4" s="2" t="s">
        <v>116</v>
      </c>
      <c r="BC4" s="2" t="s">
        <v>93</v>
      </c>
      <c r="BF4" s="2">
        <v>214.0</v>
      </c>
      <c r="BG4" s="2" t="s">
        <v>99</v>
      </c>
      <c r="BJ4" s="2" t="s">
        <v>100</v>
      </c>
      <c r="BK4" s="2" t="s">
        <v>101</v>
      </c>
      <c r="BL4" s="2">
        <v>923.0</v>
      </c>
      <c r="BM4" s="2" t="s">
        <v>102</v>
      </c>
      <c r="BN4" s="2">
        <v>4.625055412523788E7</v>
      </c>
      <c r="BO4" s="2">
        <v>63465.66997241383</v>
      </c>
      <c r="BP4" s="2" t="s">
        <v>95</v>
      </c>
      <c r="BQ4" s="2" t="s">
        <v>95</v>
      </c>
      <c r="BR4" s="2" t="s">
        <v>95</v>
      </c>
      <c r="BS4" s="2" t="s">
        <v>95</v>
      </c>
      <c r="BT4" s="2" t="s">
        <v>95</v>
      </c>
      <c r="BU4" s="2" t="s">
        <v>95</v>
      </c>
      <c r="BV4" s="2" t="s">
        <v>103</v>
      </c>
      <c r="BW4" s="2">
        <v>2.433450124173276</v>
      </c>
    </row>
    <row r="5">
      <c r="A5" s="2">
        <v>22.0</v>
      </c>
      <c r="B5" s="2">
        <v>405.0</v>
      </c>
      <c r="C5" s="3" t="s">
        <v>117</v>
      </c>
      <c r="D5" s="2" t="s">
        <v>126</v>
      </c>
      <c r="E5" s="2" t="s">
        <v>127</v>
      </c>
      <c r="F5" s="2" t="s">
        <v>128</v>
      </c>
      <c r="G5" s="2" t="s">
        <v>129</v>
      </c>
      <c r="H5" s="2" t="s">
        <v>127</v>
      </c>
      <c r="I5" s="2" t="s">
        <v>130</v>
      </c>
      <c r="J5" s="2" t="s">
        <v>131</v>
      </c>
      <c r="K5" s="2" t="s">
        <v>132</v>
      </c>
      <c r="M5" s="2" t="s">
        <v>133</v>
      </c>
      <c r="N5" s="2" t="s">
        <v>134</v>
      </c>
      <c r="O5" s="2" t="s">
        <v>135</v>
      </c>
      <c r="P5" s="2" t="s">
        <v>78</v>
      </c>
      <c r="R5" s="2" t="s">
        <v>136</v>
      </c>
      <c r="S5" s="2" t="s">
        <v>80</v>
      </c>
      <c r="U5" s="2" t="s">
        <v>137</v>
      </c>
      <c r="V5" s="2" t="s">
        <v>138</v>
      </c>
      <c r="X5" s="2" t="s">
        <v>139</v>
      </c>
      <c r="Y5" s="2" t="s">
        <v>83</v>
      </c>
      <c r="AA5" s="2" t="s">
        <v>140</v>
      </c>
      <c r="AB5" s="2" t="s">
        <v>85</v>
      </c>
      <c r="AC5" s="2" t="s">
        <v>141</v>
      </c>
      <c r="AE5" s="2" t="s">
        <v>142</v>
      </c>
      <c r="AF5" s="2" t="s">
        <v>143</v>
      </c>
      <c r="AG5" s="2" t="s">
        <v>144</v>
      </c>
      <c r="AH5" s="2" t="s">
        <v>145</v>
      </c>
      <c r="AI5" s="2" t="s">
        <v>90</v>
      </c>
      <c r="AJ5" s="2" t="s">
        <v>124</v>
      </c>
      <c r="AK5" s="2" t="s">
        <v>146</v>
      </c>
      <c r="AL5" s="2">
        <v>1.1697326743859E-5</v>
      </c>
      <c r="AM5" s="2">
        <v>0.0296291097212055</v>
      </c>
      <c r="AO5" s="2" t="s">
        <v>93</v>
      </c>
      <c r="AQ5" s="2" t="s">
        <v>94</v>
      </c>
      <c r="AR5" s="2" t="s">
        <v>147</v>
      </c>
      <c r="AS5" s="2" t="s">
        <v>95</v>
      </c>
      <c r="AT5" s="2" t="s">
        <v>147</v>
      </c>
      <c r="AU5" s="2" t="s">
        <v>95</v>
      </c>
      <c r="AV5" s="2" t="s">
        <v>95</v>
      </c>
      <c r="AW5" s="2" t="s">
        <v>95</v>
      </c>
      <c r="AX5" s="2" t="s">
        <v>96</v>
      </c>
      <c r="BA5" s="2" t="s">
        <v>148</v>
      </c>
      <c r="BC5" s="2" t="s">
        <v>93</v>
      </c>
      <c r="BD5" s="2" t="s">
        <v>98</v>
      </c>
      <c r="BF5" s="2">
        <v>214.0</v>
      </c>
      <c r="BG5" s="2" t="s">
        <v>99</v>
      </c>
      <c r="BJ5" s="2" t="s">
        <v>100</v>
      </c>
      <c r="BK5" s="2" t="s">
        <v>101</v>
      </c>
      <c r="BL5" s="2">
        <v>923.0</v>
      </c>
      <c r="BM5" s="2" t="s">
        <v>102</v>
      </c>
      <c r="BN5" s="2">
        <v>4.625055412523788E7</v>
      </c>
      <c r="BO5" s="2">
        <v>63465.66997241383</v>
      </c>
      <c r="BP5" s="2" t="s">
        <v>95</v>
      </c>
      <c r="BQ5" s="2" t="s">
        <v>95</v>
      </c>
      <c r="BR5" s="2" t="s">
        <v>95</v>
      </c>
      <c r="BS5" s="2" t="s">
        <v>95</v>
      </c>
      <c r="BT5" s="2" t="s">
        <v>95</v>
      </c>
      <c r="BU5" s="2" t="s">
        <v>95</v>
      </c>
      <c r="BV5" s="2" t="s">
        <v>103</v>
      </c>
      <c r="BW5" s="2">
        <v>2.330269115805755</v>
      </c>
    </row>
    <row r="6">
      <c r="A6" s="2">
        <v>225.0</v>
      </c>
      <c r="B6" s="2">
        <v>1964.0</v>
      </c>
      <c r="C6" s="3" t="s">
        <v>104</v>
      </c>
      <c r="D6" s="2" t="s">
        <v>149</v>
      </c>
      <c r="O6" s="2" t="s">
        <v>150</v>
      </c>
      <c r="P6" s="2" t="s">
        <v>78</v>
      </c>
      <c r="R6" s="2" t="s">
        <v>151</v>
      </c>
      <c r="S6" s="2" t="s">
        <v>80</v>
      </c>
      <c r="U6" s="2" t="s">
        <v>152</v>
      </c>
      <c r="X6" s="2" t="s">
        <v>82</v>
      </c>
      <c r="Y6" s="2" t="s">
        <v>83</v>
      </c>
      <c r="AB6" s="2" t="s">
        <v>153</v>
      </c>
      <c r="AE6" s="2" t="s">
        <v>110</v>
      </c>
      <c r="AF6" s="2" t="s">
        <v>87</v>
      </c>
      <c r="AG6" s="2" t="s">
        <v>88</v>
      </c>
      <c r="AH6" s="2" t="s">
        <v>154</v>
      </c>
      <c r="AI6" s="2" t="s">
        <v>90</v>
      </c>
      <c r="AJ6" s="2" t="s">
        <v>124</v>
      </c>
      <c r="AK6" s="2" t="s">
        <v>155</v>
      </c>
      <c r="AL6" s="2">
        <v>1.2103517177982E-5</v>
      </c>
      <c r="AM6" s="2">
        <v>0.04805664692442255</v>
      </c>
      <c r="AO6" s="2" t="s">
        <v>93</v>
      </c>
      <c r="AR6" s="2" t="s">
        <v>147</v>
      </c>
      <c r="AS6" s="2" t="s">
        <v>95</v>
      </c>
      <c r="AT6" s="2" t="s">
        <v>147</v>
      </c>
      <c r="AU6" s="2" t="s">
        <v>95</v>
      </c>
      <c r="AV6" s="2" t="s">
        <v>95</v>
      </c>
      <c r="AW6" s="2" t="s">
        <v>95</v>
      </c>
      <c r="AX6" s="2" t="s">
        <v>96</v>
      </c>
      <c r="AY6" s="2" t="s">
        <v>97</v>
      </c>
      <c r="BB6" s="2" t="s">
        <v>156</v>
      </c>
      <c r="BC6" s="2" t="s">
        <v>93</v>
      </c>
      <c r="BF6" s="2">
        <v>214.0</v>
      </c>
      <c r="BG6" s="2" t="s">
        <v>99</v>
      </c>
      <c r="BJ6" s="2" t="s">
        <v>100</v>
      </c>
      <c r="BK6" s="2" t="s">
        <v>101</v>
      </c>
      <c r="BL6" s="2">
        <v>923.0</v>
      </c>
      <c r="BM6" s="2" t="s">
        <v>102</v>
      </c>
      <c r="BN6" s="2">
        <v>4.625055412523788E7</v>
      </c>
      <c r="BO6" s="2">
        <v>63465.66997241383</v>
      </c>
      <c r="BP6" s="2" t="s">
        <v>95</v>
      </c>
      <c r="BQ6" s="2" t="s">
        <v>95</v>
      </c>
      <c r="BR6" s="2" t="s">
        <v>95</v>
      </c>
      <c r="BS6" s="2" t="s">
        <v>95</v>
      </c>
      <c r="BT6" s="2" t="s">
        <v>95</v>
      </c>
      <c r="BU6" s="2" t="s">
        <v>95</v>
      </c>
      <c r="BV6" s="2" t="s">
        <v>103</v>
      </c>
      <c r="BW6" s="2">
        <v>2.298698716484868</v>
      </c>
    </row>
    <row r="7">
      <c r="A7" s="2">
        <v>2.0</v>
      </c>
      <c r="B7" s="2">
        <v>12.0</v>
      </c>
      <c r="C7" s="3" t="s">
        <v>117</v>
      </c>
      <c r="D7" s="2" t="s">
        <v>157</v>
      </c>
      <c r="E7" s="2" t="s">
        <v>158</v>
      </c>
      <c r="F7" s="2" t="s">
        <v>159</v>
      </c>
      <c r="H7" s="2" t="s">
        <v>158</v>
      </c>
      <c r="I7" s="2" t="s">
        <v>160</v>
      </c>
      <c r="K7" s="2" t="s">
        <v>161</v>
      </c>
      <c r="M7" s="2" t="s">
        <v>162</v>
      </c>
      <c r="N7" s="2" t="s">
        <v>163</v>
      </c>
      <c r="O7" s="2" t="s">
        <v>164</v>
      </c>
      <c r="P7" s="2" t="s">
        <v>78</v>
      </c>
      <c r="R7" s="2" t="s">
        <v>165</v>
      </c>
      <c r="S7" s="2" t="s">
        <v>80</v>
      </c>
      <c r="U7" s="2" t="s">
        <v>166</v>
      </c>
      <c r="V7" s="2" t="s">
        <v>167</v>
      </c>
      <c r="W7" s="2" t="s">
        <v>168</v>
      </c>
      <c r="X7" s="2" t="s">
        <v>139</v>
      </c>
      <c r="Y7" s="2" t="s">
        <v>83</v>
      </c>
      <c r="AB7" s="2" t="s">
        <v>85</v>
      </c>
      <c r="AC7" s="2" t="s">
        <v>169</v>
      </c>
      <c r="AD7" s="2" t="s">
        <v>170</v>
      </c>
      <c r="AE7" s="2" t="s">
        <v>171</v>
      </c>
      <c r="AF7" s="2" t="s">
        <v>172</v>
      </c>
      <c r="AG7" s="2" t="s">
        <v>144</v>
      </c>
      <c r="AH7" s="2" t="s">
        <v>145</v>
      </c>
      <c r="AI7" s="2" t="s">
        <v>90</v>
      </c>
      <c r="AJ7" s="2" t="s">
        <v>124</v>
      </c>
      <c r="AK7" s="2" t="s">
        <v>173</v>
      </c>
      <c r="AL7" s="2">
        <v>6.684706013634002E-6</v>
      </c>
      <c r="AM7" s="2">
        <v>0.0114302943807414</v>
      </c>
      <c r="AO7" s="2" t="s">
        <v>93</v>
      </c>
      <c r="AQ7" s="2" t="s">
        <v>94</v>
      </c>
      <c r="AR7" s="2" t="s">
        <v>95</v>
      </c>
      <c r="AS7" s="2" t="s">
        <v>95</v>
      </c>
      <c r="AT7" s="2" t="s">
        <v>95</v>
      </c>
      <c r="AU7" s="2" t="s">
        <v>95</v>
      </c>
      <c r="AV7" s="2" t="s">
        <v>95</v>
      </c>
      <c r="AW7" s="2" t="s">
        <v>95</v>
      </c>
      <c r="AX7" s="2" t="s">
        <v>96</v>
      </c>
      <c r="BC7" s="2" t="s">
        <v>93</v>
      </c>
      <c r="BD7" s="2" t="s">
        <v>98</v>
      </c>
      <c r="BF7" s="2">
        <v>218.0</v>
      </c>
      <c r="BG7" s="2" t="s">
        <v>174</v>
      </c>
      <c r="BJ7" s="2" t="s">
        <v>100</v>
      </c>
      <c r="BK7" s="2" t="s">
        <v>175</v>
      </c>
      <c r="BL7" s="2">
        <v>928.0</v>
      </c>
      <c r="BM7" s="2" t="s">
        <v>102</v>
      </c>
      <c r="BN7" s="2">
        <v>6000725.838705278</v>
      </c>
      <c r="BO7" s="2">
        <v>19498.74803907091</v>
      </c>
      <c r="BP7" s="2" t="s">
        <v>95</v>
      </c>
      <c r="BQ7" s="2" t="s">
        <v>95</v>
      </c>
      <c r="BR7" s="2" t="s">
        <v>95</v>
      </c>
      <c r="BS7" s="2" t="s">
        <v>95</v>
      </c>
      <c r="BT7" s="2" t="s">
        <v>95</v>
      </c>
      <c r="BU7" s="2" t="s">
        <v>95</v>
      </c>
      <c r="BV7" s="2" t="s">
        <v>103</v>
      </c>
      <c r="BW7" s="2">
        <v>1.331445637467609</v>
      </c>
    </row>
    <row r="8">
      <c r="A8" s="2">
        <v>146.0</v>
      </c>
      <c r="B8" s="2">
        <v>1915.0</v>
      </c>
      <c r="C8" s="3" t="s">
        <v>117</v>
      </c>
      <c r="D8" s="2" t="s">
        <v>176</v>
      </c>
      <c r="E8" s="2" t="s">
        <v>177</v>
      </c>
      <c r="F8" s="2" t="s">
        <v>178</v>
      </c>
      <c r="G8" s="2" t="s">
        <v>179</v>
      </c>
      <c r="H8" s="2" t="s">
        <v>177</v>
      </c>
      <c r="I8" s="2" t="s">
        <v>180</v>
      </c>
      <c r="J8" s="2" t="s">
        <v>181</v>
      </c>
      <c r="K8" s="2" t="s">
        <v>182</v>
      </c>
      <c r="M8" s="2" t="s">
        <v>183</v>
      </c>
      <c r="N8" s="2" t="s">
        <v>184</v>
      </c>
      <c r="O8" s="2" t="s">
        <v>185</v>
      </c>
      <c r="P8" s="2" t="s">
        <v>78</v>
      </c>
      <c r="R8" s="2" t="s">
        <v>186</v>
      </c>
      <c r="S8" s="2" t="s">
        <v>80</v>
      </c>
      <c r="U8" s="2" t="s">
        <v>187</v>
      </c>
      <c r="X8" s="2" t="s">
        <v>139</v>
      </c>
      <c r="Y8" s="2" t="s">
        <v>83</v>
      </c>
      <c r="AB8" s="2" t="s">
        <v>188</v>
      </c>
      <c r="AE8" s="2" t="s">
        <v>189</v>
      </c>
      <c r="AF8" s="2" t="s">
        <v>190</v>
      </c>
      <c r="AG8" s="2" t="s">
        <v>122</v>
      </c>
      <c r="AH8" s="2" t="s">
        <v>191</v>
      </c>
      <c r="AI8" s="2" t="s">
        <v>90</v>
      </c>
      <c r="AJ8" s="2" t="s">
        <v>192</v>
      </c>
      <c r="AK8" s="2" t="s">
        <v>193</v>
      </c>
      <c r="AL8" s="2">
        <v>5.692547440598001E-6</v>
      </c>
      <c r="AM8" s="2">
        <v>0.01516760947958021</v>
      </c>
      <c r="AO8" s="2" t="s">
        <v>93</v>
      </c>
      <c r="AQ8" s="2" t="s">
        <v>194</v>
      </c>
      <c r="AR8" s="2" t="s">
        <v>95</v>
      </c>
      <c r="AS8" s="2" t="s">
        <v>95</v>
      </c>
      <c r="AT8" s="2" t="s">
        <v>95</v>
      </c>
      <c r="AU8" s="2" t="s">
        <v>95</v>
      </c>
      <c r="AV8" s="2" t="s">
        <v>95</v>
      </c>
      <c r="AW8" s="2" t="s">
        <v>95</v>
      </c>
      <c r="AX8" s="2" t="s">
        <v>96</v>
      </c>
      <c r="BB8" s="2" t="s">
        <v>195</v>
      </c>
      <c r="BC8" s="2" t="s">
        <v>93</v>
      </c>
      <c r="BD8" s="2" t="s">
        <v>196</v>
      </c>
      <c r="BF8" s="2">
        <v>214.0</v>
      </c>
      <c r="BG8" s="2" t="s">
        <v>99</v>
      </c>
      <c r="BJ8" s="2" t="s">
        <v>100</v>
      </c>
      <c r="BK8" s="2" t="s">
        <v>101</v>
      </c>
      <c r="BL8" s="2">
        <v>923.0</v>
      </c>
      <c r="BM8" s="2" t="s">
        <v>102</v>
      </c>
      <c r="BN8" s="2">
        <v>4.625055412523788E7</v>
      </c>
      <c r="BO8" s="2">
        <v>63465.66997241383</v>
      </c>
      <c r="BP8" s="2" t="s">
        <v>95</v>
      </c>
      <c r="BQ8" s="2" t="s">
        <v>95</v>
      </c>
      <c r="BR8" s="2" t="s">
        <v>95</v>
      </c>
      <c r="BS8" s="2" t="s">
        <v>95</v>
      </c>
      <c r="BT8" s="2" t="s">
        <v>95</v>
      </c>
      <c r="BU8" s="2" t="s">
        <v>95</v>
      </c>
      <c r="BV8" s="2" t="s">
        <v>103</v>
      </c>
      <c r="BW8" s="2">
        <v>1.124150522286611</v>
      </c>
    </row>
    <row r="9">
      <c r="A9" s="2">
        <v>223.0</v>
      </c>
      <c r="B9" s="2">
        <v>1962.0</v>
      </c>
      <c r="C9" s="3" t="s">
        <v>104</v>
      </c>
      <c r="D9" s="2" t="s">
        <v>197</v>
      </c>
      <c r="O9" s="2" t="s">
        <v>198</v>
      </c>
      <c r="P9" s="2" t="s">
        <v>78</v>
      </c>
      <c r="R9" s="2" t="s">
        <v>199</v>
      </c>
      <c r="S9" s="2" t="s">
        <v>80</v>
      </c>
      <c r="U9" s="2" t="s">
        <v>200</v>
      </c>
      <c r="X9" s="2" t="s">
        <v>82</v>
      </c>
      <c r="Y9" s="2" t="s">
        <v>83</v>
      </c>
      <c r="AB9" s="2" t="s">
        <v>85</v>
      </c>
      <c r="AE9" s="2" t="s">
        <v>110</v>
      </c>
      <c r="AF9" s="2" t="s">
        <v>201</v>
      </c>
      <c r="AG9" s="2" t="s">
        <v>88</v>
      </c>
      <c r="AH9" s="2" t="s">
        <v>202</v>
      </c>
      <c r="AI9" s="2" t="s">
        <v>90</v>
      </c>
      <c r="AJ9" s="2" t="s">
        <v>124</v>
      </c>
      <c r="AK9" s="2" t="s">
        <v>203</v>
      </c>
      <c r="AL9" s="2">
        <v>5.559958611638001E-6</v>
      </c>
      <c r="AM9" s="2">
        <v>0.02964355188555948</v>
      </c>
      <c r="AO9" s="2" t="s">
        <v>93</v>
      </c>
      <c r="AQ9" s="2" t="s">
        <v>94</v>
      </c>
      <c r="AR9" s="2" t="s">
        <v>95</v>
      </c>
      <c r="AS9" s="2" t="s">
        <v>95</v>
      </c>
      <c r="AT9" s="2" t="s">
        <v>95</v>
      </c>
      <c r="AU9" s="2" t="s">
        <v>95</v>
      </c>
      <c r="AV9" s="2" t="s">
        <v>95</v>
      </c>
      <c r="AW9" s="2" t="s">
        <v>95</v>
      </c>
      <c r="AX9" s="2" t="s">
        <v>96</v>
      </c>
      <c r="AY9" s="2" t="s">
        <v>97</v>
      </c>
      <c r="BC9" s="2" t="s">
        <v>93</v>
      </c>
      <c r="BD9" s="2" t="s">
        <v>98</v>
      </c>
      <c r="BF9" s="2">
        <v>214.0</v>
      </c>
      <c r="BG9" s="2" t="s">
        <v>99</v>
      </c>
      <c r="BJ9" s="2" t="s">
        <v>100</v>
      </c>
      <c r="BK9" s="2" t="s">
        <v>101</v>
      </c>
      <c r="BL9" s="2">
        <v>923.0</v>
      </c>
      <c r="BM9" s="2" t="s">
        <v>102</v>
      </c>
      <c r="BN9" s="2">
        <v>4.625055412523788E7</v>
      </c>
      <c r="BO9" s="2">
        <v>63465.66997241383</v>
      </c>
      <c r="BP9" s="2" t="s">
        <v>95</v>
      </c>
      <c r="BQ9" s="2" t="s">
        <v>95</v>
      </c>
      <c r="BR9" s="2" t="s">
        <v>95</v>
      </c>
      <c r="BS9" s="2" t="s">
        <v>95</v>
      </c>
      <c r="BT9" s="2" t="s">
        <v>95</v>
      </c>
      <c r="BU9" s="2" t="s">
        <v>95</v>
      </c>
      <c r="BV9" s="2" t="s">
        <v>103</v>
      </c>
      <c r="BW9" s="2">
        <v>1.105860358038164</v>
      </c>
    </row>
    <row r="10">
      <c r="A10" s="2">
        <v>217.0</v>
      </c>
      <c r="B10" s="2">
        <v>1956.0</v>
      </c>
      <c r="C10" s="3" t="s">
        <v>104</v>
      </c>
      <c r="D10" s="2" t="s">
        <v>204</v>
      </c>
      <c r="O10" s="2" t="s">
        <v>205</v>
      </c>
      <c r="P10" s="2" t="s">
        <v>78</v>
      </c>
      <c r="R10" s="2" t="s">
        <v>199</v>
      </c>
      <c r="S10" s="2" t="s">
        <v>80</v>
      </c>
      <c r="U10" s="2" t="s">
        <v>200</v>
      </c>
      <c r="X10" s="2" t="s">
        <v>82</v>
      </c>
      <c r="Y10" s="2" t="s">
        <v>83</v>
      </c>
      <c r="AB10" s="2" t="s">
        <v>153</v>
      </c>
      <c r="AE10" s="2" t="s">
        <v>110</v>
      </c>
      <c r="AF10" s="2" t="s">
        <v>201</v>
      </c>
      <c r="AG10" s="2" t="s">
        <v>88</v>
      </c>
      <c r="AH10" s="2" t="s">
        <v>206</v>
      </c>
      <c r="AI10" s="2" t="s">
        <v>90</v>
      </c>
      <c r="AJ10" s="2" t="s">
        <v>124</v>
      </c>
      <c r="AK10" s="2" t="s">
        <v>207</v>
      </c>
      <c r="AL10" s="2">
        <v>5.001825120869001E-6</v>
      </c>
      <c r="AM10" s="2">
        <v>0.01389450099734852</v>
      </c>
      <c r="AO10" s="2" t="s">
        <v>93</v>
      </c>
      <c r="AQ10" s="2" t="s">
        <v>94</v>
      </c>
      <c r="AR10" s="2" t="s">
        <v>95</v>
      </c>
      <c r="AS10" s="2" t="s">
        <v>95</v>
      </c>
      <c r="AT10" s="2" t="s">
        <v>95</v>
      </c>
      <c r="AU10" s="2" t="s">
        <v>95</v>
      </c>
      <c r="AV10" s="2" t="s">
        <v>95</v>
      </c>
      <c r="AW10" s="2" t="s">
        <v>95</v>
      </c>
      <c r="AX10" s="2" t="s">
        <v>96</v>
      </c>
      <c r="AY10" s="2" t="s">
        <v>97</v>
      </c>
      <c r="BB10" s="2" t="s">
        <v>156</v>
      </c>
      <c r="BC10" s="2" t="s">
        <v>93</v>
      </c>
      <c r="BD10" s="2" t="s">
        <v>98</v>
      </c>
      <c r="BF10" s="2">
        <v>214.0</v>
      </c>
      <c r="BG10" s="2" t="s">
        <v>99</v>
      </c>
      <c r="BJ10" s="2" t="s">
        <v>100</v>
      </c>
      <c r="BK10" s="2" t="s">
        <v>101</v>
      </c>
      <c r="BL10" s="2">
        <v>923.0</v>
      </c>
      <c r="BM10" s="2" t="s">
        <v>102</v>
      </c>
      <c r="BN10" s="2">
        <v>4.625055412523788E7</v>
      </c>
      <c r="BO10" s="2">
        <v>63465.66997241383</v>
      </c>
      <c r="BP10" s="2" t="s">
        <v>95</v>
      </c>
      <c r="BQ10" s="2" t="s">
        <v>95</v>
      </c>
      <c r="BR10" s="2" t="s">
        <v>95</v>
      </c>
      <c r="BS10" s="2" t="s">
        <v>95</v>
      </c>
      <c r="BT10" s="2" t="s">
        <v>95</v>
      </c>
      <c r="BU10" s="2" t="s">
        <v>95</v>
      </c>
      <c r="BV10" s="2" t="s">
        <v>103</v>
      </c>
      <c r="BW10" s="2">
        <v>0.9963433472259973</v>
      </c>
    </row>
    <row r="11">
      <c r="A11" s="2">
        <v>124.0</v>
      </c>
      <c r="B11" s="2">
        <v>1049.0</v>
      </c>
      <c r="C11" s="3" t="s">
        <v>117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209</v>
      </c>
      <c r="K11" s="2" t="s">
        <v>212</v>
      </c>
      <c r="M11" s="2" t="s">
        <v>213</v>
      </c>
      <c r="N11" s="2" t="s">
        <v>214</v>
      </c>
      <c r="O11" s="2" t="s">
        <v>215</v>
      </c>
      <c r="P11" s="2" t="s">
        <v>78</v>
      </c>
      <c r="R11" s="2" t="s">
        <v>216</v>
      </c>
      <c r="S11" s="2" t="s">
        <v>80</v>
      </c>
      <c r="U11" s="2" t="s">
        <v>217</v>
      </c>
      <c r="X11" s="2" t="s">
        <v>139</v>
      </c>
      <c r="Y11" s="2" t="s">
        <v>83</v>
      </c>
      <c r="AA11" s="2" t="s">
        <v>140</v>
      </c>
      <c r="AB11" s="2" t="s">
        <v>85</v>
      </c>
      <c r="AE11" s="2" t="s">
        <v>171</v>
      </c>
      <c r="AF11" s="2" t="s">
        <v>218</v>
      </c>
      <c r="AG11" s="2" t="s">
        <v>122</v>
      </c>
      <c r="AH11" s="2" t="s">
        <v>219</v>
      </c>
      <c r="AI11" s="2" t="s">
        <v>90</v>
      </c>
      <c r="AJ11" s="2" t="s">
        <v>220</v>
      </c>
      <c r="AK11" s="2" t="s">
        <v>221</v>
      </c>
      <c r="AL11" s="2">
        <v>3.947843000566001E-6</v>
      </c>
      <c r="AM11" s="2">
        <v>0.01188328959215671</v>
      </c>
      <c r="AO11" s="2" t="s">
        <v>93</v>
      </c>
      <c r="AQ11" s="2" t="s">
        <v>94</v>
      </c>
      <c r="AR11" s="2" t="s">
        <v>95</v>
      </c>
      <c r="AS11" s="2" t="s">
        <v>95</v>
      </c>
      <c r="AT11" s="2" t="s">
        <v>95</v>
      </c>
      <c r="AU11" s="2" t="s">
        <v>95</v>
      </c>
      <c r="AV11" s="2" t="s">
        <v>95</v>
      </c>
      <c r="AW11" s="2" t="s">
        <v>95</v>
      </c>
      <c r="AX11" s="2" t="s">
        <v>96</v>
      </c>
      <c r="BA11" s="2" t="s">
        <v>148</v>
      </c>
      <c r="BC11" s="2" t="s">
        <v>93</v>
      </c>
      <c r="BD11" s="2" t="s">
        <v>98</v>
      </c>
      <c r="BF11" s="2">
        <v>214.0</v>
      </c>
      <c r="BG11" s="2" t="s">
        <v>99</v>
      </c>
      <c r="BJ11" s="2" t="s">
        <v>100</v>
      </c>
      <c r="BK11" s="2" t="s">
        <v>101</v>
      </c>
      <c r="BL11" s="2">
        <v>923.0</v>
      </c>
      <c r="BM11" s="2" t="s">
        <v>102</v>
      </c>
      <c r="BN11" s="2">
        <v>4.625055412523788E7</v>
      </c>
      <c r="BO11" s="2">
        <v>63465.66997241383</v>
      </c>
      <c r="BP11" s="2" t="s">
        <v>95</v>
      </c>
      <c r="BQ11" s="2" t="s">
        <v>95</v>
      </c>
      <c r="BR11" s="2" t="s">
        <v>95</v>
      </c>
      <c r="BS11" s="2" t="s">
        <v>95</v>
      </c>
      <c r="BT11" s="2" t="s">
        <v>95</v>
      </c>
      <c r="BU11" s="2" t="s">
        <v>95</v>
      </c>
      <c r="BV11" s="2" t="s">
        <v>103</v>
      </c>
      <c r="BW11" s="2">
        <v>0.7864757714496078</v>
      </c>
    </row>
    <row r="12">
      <c r="A12" s="2">
        <v>218.0</v>
      </c>
      <c r="B12" s="2">
        <v>1957.0</v>
      </c>
      <c r="C12" s="3" t="s">
        <v>104</v>
      </c>
      <c r="D12" s="2" t="s">
        <v>222</v>
      </c>
      <c r="O12" s="2" t="s">
        <v>223</v>
      </c>
      <c r="P12" s="2" t="s">
        <v>78</v>
      </c>
      <c r="R12" s="2" t="s">
        <v>199</v>
      </c>
      <c r="S12" s="2" t="s">
        <v>80</v>
      </c>
      <c r="U12" s="2" t="s">
        <v>224</v>
      </c>
      <c r="X12" s="2" t="s">
        <v>82</v>
      </c>
      <c r="Y12" s="2" t="s">
        <v>83</v>
      </c>
      <c r="AB12" s="2" t="s">
        <v>188</v>
      </c>
      <c r="AE12" s="2" t="s">
        <v>110</v>
      </c>
      <c r="AF12" s="2" t="s">
        <v>201</v>
      </c>
      <c r="AG12" s="2" t="s">
        <v>88</v>
      </c>
      <c r="AH12" s="2" t="s">
        <v>225</v>
      </c>
      <c r="AI12" s="2" t="s">
        <v>90</v>
      </c>
      <c r="AJ12" s="2" t="s">
        <v>124</v>
      </c>
      <c r="AK12" s="2" t="s">
        <v>226</v>
      </c>
      <c r="AL12" s="2">
        <v>2.56152185475E-6</v>
      </c>
      <c r="AM12" s="2">
        <v>0.009071861425148552</v>
      </c>
      <c r="AO12" s="2" t="s">
        <v>93</v>
      </c>
      <c r="AQ12" s="2" t="s">
        <v>94</v>
      </c>
      <c r="AR12" s="2" t="s">
        <v>95</v>
      </c>
      <c r="AS12" s="2" t="s">
        <v>95</v>
      </c>
      <c r="AT12" s="2" t="s">
        <v>95</v>
      </c>
      <c r="AU12" s="2" t="s">
        <v>95</v>
      </c>
      <c r="AV12" s="2" t="s">
        <v>95</v>
      </c>
      <c r="AW12" s="2" t="s">
        <v>95</v>
      </c>
      <c r="AX12" s="2" t="s">
        <v>96</v>
      </c>
      <c r="AY12" s="2" t="s">
        <v>97</v>
      </c>
      <c r="BB12" s="2" t="s">
        <v>195</v>
      </c>
      <c r="BC12" s="2" t="s">
        <v>93</v>
      </c>
      <c r="BD12" s="2" t="s">
        <v>98</v>
      </c>
      <c r="BF12" s="2">
        <v>214.0</v>
      </c>
      <c r="BG12" s="2" t="s">
        <v>99</v>
      </c>
      <c r="BJ12" s="2" t="s">
        <v>100</v>
      </c>
      <c r="BK12" s="2" t="s">
        <v>101</v>
      </c>
      <c r="BL12" s="2">
        <v>923.0</v>
      </c>
      <c r="BM12" s="2" t="s">
        <v>102</v>
      </c>
      <c r="BN12" s="2">
        <v>4.625055412523788E7</v>
      </c>
      <c r="BO12" s="2">
        <v>63465.66997241383</v>
      </c>
      <c r="BP12" s="2" t="s">
        <v>95</v>
      </c>
      <c r="BQ12" s="2" t="s">
        <v>95</v>
      </c>
      <c r="BR12" s="2" t="s">
        <v>95</v>
      </c>
      <c r="BS12" s="2" t="s">
        <v>95</v>
      </c>
      <c r="BT12" s="2" t="s">
        <v>95</v>
      </c>
      <c r="BU12" s="2" t="s">
        <v>95</v>
      </c>
      <c r="BV12" s="2" t="s">
        <v>103</v>
      </c>
      <c r="BW12" s="2">
        <v>0.5102740955701751</v>
      </c>
    </row>
    <row r="13">
      <c r="A13" s="2">
        <v>219.0</v>
      </c>
      <c r="B13" s="2">
        <v>1958.0</v>
      </c>
      <c r="C13" s="3" t="s">
        <v>104</v>
      </c>
      <c r="D13" s="2" t="s">
        <v>227</v>
      </c>
      <c r="O13" s="2" t="s">
        <v>228</v>
      </c>
      <c r="P13" s="2" t="s">
        <v>78</v>
      </c>
      <c r="R13" s="2" t="s">
        <v>199</v>
      </c>
      <c r="S13" s="2" t="s">
        <v>80</v>
      </c>
      <c r="U13" s="2" t="s">
        <v>229</v>
      </c>
      <c r="X13" s="2" t="s">
        <v>82</v>
      </c>
      <c r="Y13" s="2" t="s">
        <v>83</v>
      </c>
      <c r="AB13" s="2" t="s">
        <v>153</v>
      </c>
      <c r="AE13" s="2" t="s">
        <v>110</v>
      </c>
      <c r="AF13" s="2" t="s">
        <v>201</v>
      </c>
      <c r="AG13" s="2" t="s">
        <v>88</v>
      </c>
      <c r="AH13" s="2" t="s">
        <v>230</v>
      </c>
      <c r="AI13" s="2" t="s">
        <v>90</v>
      </c>
      <c r="AJ13" s="2" t="s">
        <v>231</v>
      </c>
      <c r="AK13" s="2" t="s">
        <v>232</v>
      </c>
      <c r="AL13" s="2">
        <v>2.500081077629501E-6</v>
      </c>
      <c r="AM13" s="2">
        <v>0.009435319827804071</v>
      </c>
      <c r="AO13" s="2" t="s">
        <v>93</v>
      </c>
      <c r="AQ13" s="2" t="s">
        <v>94</v>
      </c>
      <c r="AR13" s="2" t="s">
        <v>95</v>
      </c>
      <c r="AS13" s="2" t="s">
        <v>95</v>
      </c>
      <c r="AT13" s="2" t="s">
        <v>95</v>
      </c>
      <c r="AU13" s="2" t="s">
        <v>95</v>
      </c>
      <c r="AV13" s="2" t="s">
        <v>95</v>
      </c>
      <c r="AW13" s="2" t="s">
        <v>95</v>
      </c>
      <c r="AX13" s="2" t="s">
        <v>96</v>
      </c>
      <c r="AY13" s="2" t="s">
        <v>97</v>
      </c>
      <c r="BB13" s="2" t="s">
        <v>156</v>
      </c>
      <c r="BC13" s="2" t="s">
        <v>93</v>
      </c>
      <c r="BD13" s="2" t="s">
        <v>98</v>
      </c>
      <c r="BF13" s="2">
        <v>214.0</v>
      </c>
      <c r="BG13" s="2" t="s">
        <v>99</v>
      </c>
      <c r="BJ13" s="2" t="s">
        <v>100</v>
      </c>
      <c r="BK13" s="2" t="s">
        <v>101</v>
      </c>
      <c r="BL13" s="2">
        <v>923.0</v>
      </c>
      <c r="BM13" s="2" t="s">
        <v>102</v>
      </c>
      <c r="BN13" s="2">
        <v>4.625055412523788E7</v>
      </c>
      <c r="BO13" s="2">
        <v>63465.66997241383</v>
      </c>
      <c r="BP13" s="2" t="s">
        <v>95</v>
      </c>
      <c r="BQ13" s="2" t="s">
        <v>95</v>
      </c>
      <c r="BR13" s="2" t="s">
        <v>95</v>
      </c>
      <c r="BS13" s="2" t="s">
        <v>95</v>
      </c>
      <c r="BT13" s="2" t="s">
        <v>95</v>
      </c>
      <c r="BU13" s="2" t="s">
        <v>95</v>
      </c>
      <c r="BV13" s="2" t="s">
        <v>103</v>
      </c>
      <c r="BW13" s="2">
        <v>0.498651835403951</v>
      </c>
    </row>
    <row r="14">
      <c r="A14" s="2">
        <v>220.0</v>
      </c>
      <c r="B14" s="2">
        <v>1959.0</v>
      </c>
      <c r="C14" s="3" t="s">
        <v>104</v>
      </c>
      <c r="D14" s="2" t="s">
        <v>233</v>
      </c>
      <c r="O14" s="2" t="s">
        <v>234</v>
      </c>
      <c r="P14" s="2" t="s">
        <v>78</v>
      </c>
      <c r="R14" s="2" t="s">
        <v>199</v>
      </c>
      <c r="S14" s="2" t="s">
        <v>80</v>
      </c>
      <c r="U14" s="2" t="s">
        <v>235</v>
      </c>
      <c r="X14" s="2" t="s">
        <v>82</v>
      </c>
      <c r="Y14" s="2" t="s">
        <v>83</v>
      </c>
      <c r="AB14" s="2" t="s">
        <v>153</v>
      </c>
      <c r="AE14" s="2" t="s">
        <v>110</v>
      </c>
      <c r="AF14" s="2" t="s">
        <v>201</v>
      </c>
      <c r="AG14" s="2" t="s">
        <v>88</v>
      </c>
      <c r="AH14" s="2" t="s">
        <v>236</v>
      </c>
      <c r="AI14" s="2" t="s">
        <v>90</v>
      </c>
      <c r="AJ14" s="2" t="s">
        <v>124</v>
      </c>
      <c r="AK14" s="2" t="s">
        <v>237</v>
      </c>
      <c r="AL14" s="2">
        <v>2.471150623361001E-6</v>
      </c>
      <c r="AM14" s="2">
        <v>0.02207265877351565</v>
      </c>
      <c r="AO14" s="2" t="s">
        <v>93</v>
      </c>
      <c r="AQ14" s="2" t="s">
        <v>94</v>
      </c>
      <c r="AR14" s="2" t="s">
        <v>95</v>
      </c>
      <c r="AS14" s="2" t="s">
        <v>95</v>
      </c>
      <c r="AT14" s="2" t="s">
        <v>95</v>
      </c>
      <c r="AU14" s="2" t="s">
        <v>95</v>
      </c>
      <c r="AV14" s="2" t="s">
        <v>95</v>
      </c>
      <c r="AW14" s="2" t="s">
        <v>95</v>
      </c>
      <c r="AX14" s="2" t="s">
        <v>96</v>
      </c>
      <c r="AY14" s="2" t="s">
        <v>97</v>
      </c>
      <c r="BB14" s="2" t="s">
        <v>156</v>
      </c>
      <c r="BC14" s="2" t="s">
        <v>93</v>
      </c>
      <c r="BD14" s="2" t="s">
        <v>98</v>
      </c>
      <c r="BF14" s="2">
        <v>214.0</v>
      </c>
      <c r="BG14" s="2" t="s">
        <v>99</v>
      </c>
      <c r="BJ14" s="2" t="s">
        <v>100</v>
      </c>
      <c r="BK14" s="2" t="s">
        <v>101</v>
      </c>
      <c r="BL14" s="2">
        <v>923.0</v>
      </c>
      <c r="BM14" s="2" t="s">
        <v>102</v>
      </c>
      <c r="BN14" s="2">
        <v>4.625055412523788E7</v>
      </c>
      <c r="BO14" s="2">
        <v>63465.66997241383</v>
      </c>
      <c r="BP14" s="2" t="s">
        <v>95</v>
      </c>
      <c r="BQ14" s="2" t="s">
        <v>95</v>
      </c>
      <c r="BR14" s="2" t="s">
        <v>95</v>
      </c>
      <c r="BS14" s="2" t="s">
        <v>95</v>
      </c>
      <c r="BT14" s="2" t="s">
        <v>95</v>
      </c>
      <c r="BU14" s="2" t="s">
        <v>95</v>
      </c>
      <c r="BV14" s="2" t="s">
        <v>103</v>
      </c>
      <c r="BW14" s="2">
        <v>0.4922629224677184</v>
      </c>
    </row>
    <row r="15">
      <c r="A15" s="2">
        <v>216.0</v>
      </c>
      <c r="B15" s="2">
        <v>1955.0</v>
      </c>
      <c r="C15" s="3" t="s">
        <v>104</v>
      </c>
      <c r="D15" s="2" t="s">
        <v>238</v>
      </c>
      <c r="O15" s="2" t="s">
        <v>239</v>
      </c>
      <c r="P15" s="2" t="s">
        <v>78</v>
      </c>
      <c r="R15" s="2" t="s">
        <v>240</v>
      </c>
      <c r="S15" s="2" t="s">
        <v>80</v>
      </c>
      <c r="U15" s="2" t="s">
        <v>241</v>
      </c>
      <c r="X15" s="2" t="s">
        <v>82</v>
      </c>
      <c r="Y15" s="2" t="s">
        <v>83</v>
      </c>
      <c r="AB15" s="2" t="s">
        <v>242</v>
      </c>
      <c r="AE15" s="2" t="s">
        <v>110</v>
      </c>
      <c r="AF15" s="2" t="s">
        <v>201</v>
      </c>
      <c r="AG15" s="2" t="s">
        <v>88</v>
      </c>
      <c r="AH15" s="2" t="s">
        <v>243</v>
      </c>
      <c r="AI15" s="2" t="s">
        <v>90</v>
      </c>
      <c r="AJ15" s="2" t="s">
        <v>124</v>
      </c>
      <c r="AK15" s="2" t="s">
        <v>244</v>
      </c>
      <c r="AL15" s="2">
        <v>2.495437734032501E-6</v>
      </c>
      <c r="AM15" s="2">
        <v>0.02012430083088255</v>
      </c>
      <c r="AO15" s="2" t="s">
        <v>93</v>
      </c>
      <c r="AR15" s="2" t="s">
        <v>95</v>
      </c>
      <c r="AS15" s="2" t="s">
        <v>95</v>
      </c>
      <c r="AT15" s="2" t="s">
        <v>95</v>
      </c>
      <c r="AU15" s="2" t="s">
        <v>95</v>
      </c>
      <c r="AV15" s="2" t="s">
        <v>95</v>
      </c>
      <c r="AW15" s="2" t="s">
        <v>95</v>
      </c>
      <c r="AX15" s="2" t="s">
        <v>96</v>
      </c>
      <c r="AY15" s="2" t="s">
        <v>97</v>
      </c>
      <c r="BB15" s="2" t="s">
        <v>245</v>
      </c>
      <c r="BC15" s="2" t="s">
        <v>93</v>
      </c>
      <c r="BF15" s="2">
        <v>214.0</v>
      </c>
      <c r="BG15" s="2" t="s">
        <v>99</v>
      </c>
      <c r="BJ15" s="2" t="s">
        <v>100</v>
      </c>
      <c r="BK15" s="2" t="s">
        <v>101</v>
      </c>
      <c r="BL15" s="2">
        <v>923.0</v>
      </c>
      <c r="BM15" s="2" t="s">
        <v>102</v>
      </c>
      <c r="BN15" s="2">
        <v>4.625055412523788E7</v>
      </c>
      <c r="BO15" s="2">
        <v>63465.66997241383</v>
      </c>
      <c r="BP15" s="2" t="s">
        <v>95</v>
      </c>
      <c r="BQ15" s="2" t="s">
        <v>95</v>
      </c>
      <c r="BR15" s="2" t="s">
        <v>95</v>
      </c>
      <c r="BS15" s="2" t="s">
        <v>95</v>
      </c>
      <c r="BT15" s="2" t="s">
        <v>95</v>
      </c>
      <c r="BU15" s="2" t="s">
        <v>95</v>
      </c>
      <c r="BV15" s="2" t="s">
        <v>103</v>
      </c>
      <c r="BW15" s="2">
        <v>0.4675382438083323</v>
      </c>
    </row>
    <row r="16">
      <c r="A16" s="2">
        <v>21.0</v>
      </c>
      <c r="B16" s="2">
        <v>356.0</v>
      </c>
      <c r="C16" s="3" t="s">
        <v>117</v>
      </c>
      <c r="D16" s="2" t="s">
        <v>246</v>
      </c>
      <c r="E16" s="2" t="s">
        <v>247</v>
      </c>
      <c r="F16" s="2" t="s">
        <v>248</v>
      </c>
      <c r="H16" s="2" t="s">
        <v>247</v>
      </c>
      <c r="I16" s="2" t="s">
        <v>249</v>
      </c>
      <c r="K16" s="2" t="s">
        <v>250</v>
      </c>
      <c r="M16" s="2" t="s">
        <v>251</v>
      </c>
      <c r="N16" s="2" t="s">
        <v>252</v>
      </c>
      <c r="O16" s="2" t="s">
        <v>253</v>
      </c>
      <c r="P16" s="2" t="s">
        <v>78</v>
      </c>
      <c r="R16" s="2" t="s">
        <v>254</v>
      </c>
      <c r="S16" s="2" t="s">
        <v>80</v>
      </c>
      <c r="U16" s="2" t="s">
        <v>255</v>
      </c>
      <c r="V16" s="2" t="s">
        <v>256</v>
      </c>
      <c r="X16" s="2" t="s">
        <v>257</v>
      </c>
      <c r="Y16" s="2" t="s">
        <v>83</v>
      </c>
      <c r="AA16" s="2" t="s">
        <v>140</v>
      </c>
      <c r="AB16" s="2" t="s">
        <v>85</v>
      </c>
      <c r="AC16" s="2" t="s">
        <v>258</v>
      </c>
      <c r="AD16" s="2" t="s">
        <v>259</v>
      </c>
      <c r="AE16" s="2" t="s">
        <v>260</v>
      </c>
      <c r="AF16" s="2" t="s">
        <v>143</v>
      </c>
      <c r="AG16" s="2" t="s">
        <v>144</v>
      </c>
      <c r="AH16" s="2" t="s">
        <v>145</v>
      </c>
      <c r="AI16" s="2" t="s">
        <v>90</v>
      </c>
      <c r="AJ16" s="2" t="s">
        <v>124</v>
      </c>
      <c r="AK16" s="2" t="s">
        <v>261</v>
      </c>
      <c r="AL16" s="2">
        <v>1.857271543666E-6</v>
      </c>
      <c r="AM16" s="2">
        <v>0.006172890874418299</v>
      </c>
      <c r="AO16" s="2" t="s">
        <v>93</v>
      </c>
      <c r="AQ16" s="2" t="s">
        <v>94</v>
      </c>
      <c r="AR16" s="2" t="s">
        <v>95</v>
      </c>
      <c r="AS16" s="2" t="s">
        <v>95</v>
      </c>
      <c r="AT16" s="2" t="s">
        <v>95</v>
      </c>
      <c r="AU16" s="2" t="s">
        <v>95</v>
      </c>
      <c r="AV16" s="2" t="s">
        <v>95</v>
      </c>
      <c r="AW16" s="2" t="s">
        <v>95</v>
      </c>
      <c r="AX16" s="2" t="s">
        <v>96</v>
      </c>
      <c r="BA16" s="2" t="s">
        <v>148</v>
      </c>
      <c r="BC16" s="2" t="s">
        <v>93</v>
      </c>
      <c r="BD16" s="2" t="s">
        <v>98</v>
      </c>
      <c r="BF16" s="2">
        <v>214.0</v>
      </c>
      <c r="BG16" s="2" t="s">
        <v>99</v>
      </c>
      <c r="BJ16" s="2" t="s">
        <v>100</v>
      </c>
      <c r="BK16" s="2" t="s">
        <v>101</v>
      </c>
      <c r="BL16" s="2">
        <v>923.0</v>
      </c>
      <c r="BM16" s="2" t="s">
        <v>102</v>
      </c>
      <c r="BN16" s="2">
        <v>4.625055412523788E7</v>
      </c>
      <c r="BO16" s="2">
        <v>63465.66997241383</v>
      </c>
      <c r="BP16" s="2" t="s">
        <v>95</v>
      </c>
      <c r="BQ16" s="2" t="s">
        <v>95</v>
      </c>
      <c r="BR16" s="2" t="s">
        <v>95</v>
      </c>
      <c r="BS16" s="2" t="s">
        <v>95</v>
      </c>
      <c r="BT16" s="2" t="s">
        <v>95</v>
      </c>
      <c r="BU16" s="2" t="s">
        <v>95</v>
      </c>
      <c r="BV16" s="2" t="s">
        <v>103</v>
      </c>
      <c r="BW16" s="2">
        <v>0.3700001325434075</v>
      </c>
    </row>
    <row r="17">
      <c r="A17" s="2">
        <v>222.0</v>
      </c>
      <c r="B17" s="2">
        <v>1961.0</v>
      </c>
      <c r="C17" s="3" t="s">
        <v>104</v>
      </c>
      <c r="D17" s="2" t="s">
        <v>262</v>
      </c>
      <c r="O17" s="2" t="s">
        <v>263</v>
      </c>
      <c r="P17" s="2" t="s">
        <v>78</v>
      </c>
      <c r="R17" s="2" t="s">
        <v>199</v>
      </c>
      <c r="S17" s="2" t="s">
        <v>80</v>
      </c>
      <c r="U17" s="2" t="s">
        <v>264</v>
      </c>
      <c r="X17" s="2" t="s">
        <v>82</v>
      </c>
      <c r="Y17" s="2" t="s">
        <v>83</v>
      </c>
      <c r="AB17" s="2" t="s">
        <v>85</v>
      </c>
      <c r="AE17" s="2" t="s">
        <v>110</v>
      </c>
      <c r="AF17" s="2" t="s">
        <v>201</v>
      </c>
      <c r="AG17" s="2" t="s">
        <v>88</v>
      </c>
      <c r="AH17" s="2" t="s">
        <v>202</v>
      </c>
      <c r="AI17" s="2" t="s">
        <v>90</v>
      </c>
      <c r="AJ17" s="2" t="s">
        <v>124</v>
      </c>
      <c r="AK17" s="2" t="s">
        <v>265</v>
      </c>
      <c r="AL17" s="2">
        <v>2.0569334424245E-6</v>
      </c>
      <c r="AM17" s="2">
        <v>0.0210295840048526</v>
      </c>
      <c r="AO17" s="2" t="s">
        <v>93</v>
      </c>
      <c r="AQ17" s="2" t="s">
        <v>94</v>
      </c>
      <c r="AR17" s="2" t="s">
        <v>95</v>
      </c>
      <c r="AS17" s="2" t="s">
        <v>95</v>
      </c>
      <c r="AT17" s="2" t="s">
        <v>95</v>
      </c>
      <c r="AU17" s="2" t="s">
        <v>95</v>
      </c>
      <c r="AV17" s="2" t="s">
        <v>95</v>
      </c>
      <c r="AW17" s="2" t="s">
        <v>95</v>
      </c>
      <c r="AX17" s="2" t="s">
        <v>96</v>
      </c>
      <c r="AY17" s="2" t="s">
        <v>97</v>
      </c>
      <c r="BC17" s="2" t="s">
        <v>93</v>
      </c>
      <c r="BD17" s="2" t="s">
        <v>98</v>
      </c>
      <c r="BF17" s="2">
        <v>214.0</v>
      </c>
      <c r="BG17" s="2" t="s">
        <v>99</v>
      </c>
      <c r="BJ17" s="2" t="s">
        <v>100</v>
      </c>
      <c r="BK17" s="2" t="s">
        <v>101</v>
      </c>
      <c r="BL17" s="2">
        <v>923.0</v>
      </c>
      <c r="BM17" s="2" t="s">
        <v>102</v>
      </c>
      <c r="BN17" s="2">
        <v>4.625055412523788E7</v>
      </c>
      <c r="BO17" s="2">
        <v>63465.66997241383</v>
      </c>
      <c r="BP17" s="2" t="s">
        <v>95</v>
      </c>
      <c r="BQ17" s="2" t="s">
        <v>95</v>
      </c>
      <c r="BR17" s="2" t="s">
        <v>95</v>
      </c>
      <c r="BS17" s="2" t="s">
        <v>95</v>
      </c>
      <c r="BT17" s="2" t="s">
        <v>95</v>
      </c>
      <c r="BU17" s="2" t="s">
        <v>95</v>
      </c>
      <c r="BV17" s="2" t="s">
        <v>103</v>
      </c>
      <c r="BW17" s="2">
        <v>0.3133410238507487</v>
      </c>
    </row>
    <row r="18">
      <c r="A18" s="2">
        <v>102.0</v>
      </c>
      <c r="B18" s="2">
        <v>1030.0</v>
      </c>
      <c r="C18" s="3" t="s">
        <v>104</v>
      </c>
      <c r="D18" s="2" t="s">
        <v>266</v>
      </c>
      <c r="E18" s="2" t="s">
        <v>267</v>
      </c>
      <c r="F18" s="2" t="s">
        <v>268</v>
      </c>
      <c r="G18" s="2" t="s">
        <v>269</v>
      </c>
      <c r="H18" s="2" t="s">
        <v>267</v>
      </c>
      <c r="I18" s="2" t="s">
        <v>270</v>
      </c>
      <c r="K18" s="2" t="s">
        <v>271</v>
      </c>
      <c r="M18" s="2" t="s">
        <v>272</v>
      </c>
      <c r="N18" s="2" t="s">
        <v>273</v>
      </c>
      <c r="O18" s="2" t="s">
        <v>274</v>
      </c>
      <c r="P18" s="2" t="s">
        <v>78</v>
      </c>
      <c r="R18" s="2" t="s">
        <v>275</v>
      </c>
      <c r="S18" s="2" t="s">
        <v>80</v>
      </c>
      <c r="U18" s="2" t="s">
        <v>276</v>
      </c>
      <c r="X18" s="2" t="s">
        <v>139</v>
      </c>
      <c r="Y18" s="2" t="s">
        <v>83</v>
      </c>
      <c r="AA18" s="2" t="s">
        <v>140</v>
      </c>
      <c r="AB18" s="2" t="s">
        <v>277</v>
      </c>
      <c r="AE18" s="2" t="s">
        <v>142</v>
      </c>
      <c r="AF18" s="2" t="s">
        <v>143</v>
      </c>
      <c r="AG18" s="2" t="s">
        <v>122</v>
      </c>
      <c r="AH18" s="2" t="s">
        <v>278</v>
      </c>
      <c r="AI18" s="2" t="s">
        <v>90</v>
      </c>
      <c r="AJ18" s="2" t="s">
        <v>124</v>
      </c>
      <c r="AK18" s="2" t="s">
        <v>279</v>
      </c>
      <c r="AL18" s="2">
        <v>1.490397224665E-6</v>
      </c>
      <c r="AM18" s="2">
        <v>0.01128680866927593</v>
      </c>
      <c r="AO18" s="2" t="s">
        <v>93</v>
      </c>
      <c r="AQ18" s="2" t="s">
        <v>94</v>
      </c>
      <c r="AR18" s="2" t="s">
        <v>95</v>
      </c>
      <c r="AS18" s="2" t="s">
        <v>95</v>
      </c>
      <c r="AT18" s="2" t="s">
        <v>95</v>
      </c>
      <c r="AU18" s="2" t="s">
        <v>95</v>
      </c>
      <c r="AV18" s="2" t="s">
        <v>95</v>
      </c>
      <c r="AW18" s="2" t="s">
        <v>95</v>
      </c>
      <c r="AX18" s="2" t="s">
        <v>96</v>
      </c>
      <c r="BA18" s="2" t="s">
        <v>148</v>
      </c>
      <c r="BB18" s="2" t="s">
        <v>280</v>
      </c>
      <c r="BC18" s="2" t="s">
        <v>93</v>
      </c>
      <c r="BD18" s="2" t="s">
        <v>98</v>
      </c>
      <c r="BF18" s="2">
        <v>214.0</v>
      </c>
      <c r="BG18" s="2" t="s">
        <v>99</v>
      </c>
      <c r="BJ18" s="2" t="s">
        <v>100</v>
      </c>
      <c r="BK18" s="2" t="s">
        <v>101</v>
      </c>
      <c r="BL18" s="2">
        <v>923.0</v>
      </c>
      <c r="BM18" s="2" t="s">
        <v>102</v>
      </c>
      <c r="BN18" s="2">
        <v>4.625055412523788E7</v>
      </c>
      <c r="BO18" s="2">
        <v>63465.66997241383</v>
      </c>
      <c r="BP18" s="2" t="s">
        <v>95</v>
      </c>
      <c r="BQ18" s="2" t="s">
        <v>95</v>
      </c>
      <c r="BR18" s="2" t="s">
        <v>95</v>
      </c>
      <c r="BS18" s="2" t="s">
        <v>95</v>
      </c>
      <c r="BT18" s="2" t="s">
        <v>95</v>
      </c>
      <c r="BU18" s="2" t="s">
        <v>95</v>
      </c>
      <c r="BV18" s="2" t="s">
        <v>103</v>
      </c>
      <c r="BW18" s="2">
        <v>0.2970191860433133</v>
      </c>
    </row>
    <row r="19">
      <c r="A19" s="2">
        <v>282.0</v>
      </c>
      <c r="B19" s="2">
        <v>2441.0</v>
      </c>
      <c r="C19" s="3" t="s">
        <v>104</v>
      </c>
      <c r="D19" s="2" t="s">
        <v>281</v>
      </c>
      <c r="O19" s="2" t="s">
        <v>282</v>
      </c>
      <c r="P19" s="2" t="s">
        <v>78</v>
      </c>
      <c r="R19" s="2" t="s">
        <v>283</v>
      </c>
      <c r="S19" s="2" t="s">
        <v>80</v>
      </c>
      <c r="U19" s="2" t="s">
        <v>283</v>
      </c>
      <c r="X19" s="2" t="s">
        <v>108</v>
      </c>
      <c r="Y19" s="2" t="s">
        <v>83</v>
      </c>
      <c r="Z19" s="2" t="s">
        <v>284</v>
      </c>
      <c r="AB19" s="2" t="s">
        <v>277</v>
      </c>
      <c r="AE19" s="2" t="s">
        <v>110</v>
      </c>
      <c r="AF19" s="2" t="s">
        <v>285</v>
      </c>
      <c r="AG19" s="2" t="s">
        <v>90</v>
      </c>
      <c r="AH19" s="2" t="s">
        <v>286</v>
      </c>
      <c r="AI19" s="2" t="s">
        <v>90</v>
      </c>
      <c r="AJ19" s="2" t="s">
        <v>113</v>
      </c>
      <c r="AK19" s="2" t="s">
        <v>287</v>
      </c>
      <c r="AL19" s="2">
        <v>1.2476688526765E-6</v>
      </c>
      <c r="AM19" s="2">
        <v>0.01120535985615117</v>
      </c>
      <c r="AO19" s="2" t="s">
        <v>93</v>
      </c>
      <c r="AR19" s="2" t="s">
        <v>95</v>
      </c>
      <c r="AS19" s="2" t="s">
        <v>95</v>
      </c>
      <c r="AT19" s="2" t="s">
        <v>95</v>
      </c>
      <c r="AU19" s="2" t="s">
        <v>95</v>
      </c>
      <c r="AV19" s="2" t="s">
        <v>95</v>
      </c>
      <c r="AW19" s="2" t="s">
        <v>95</v>
      </c>
      <c r="AX19" s="2" t="s">
        <v>96</v>
      </c>
      <c r="AY19" s="2" t="s">
        <v>116</v>
      </c>
      <c r="BB19" s="2" t="s">
        <v>280</v>
      </c>
      <c r="BC19" s="2" t="s">
        <v>93</v>
      </c>
      <c r="BF19" s="2">
        <v>214.0</v>
      </c>
      <c r="BG19" s="2" t="s">
        <v>99</v>
      </c>
      <c r="BJ19" s="2" t="s">
        <v>100</v>
      </c>
      <c r="BK19" s="2" t="s">
        <v>101</v>
      </c>
      <c r="BL19" s="2">
        <v>923.0</v>
      </c>
      <c r="BM19" s="2" t="s">
        <v>102</v>
      </c>
      <c r="BN19" s="2">
        <v>4.625055412523788E7</v>
      </c>
      <c r="BO19" s="2">
        <v>63465.66997241383</v>
      </c>
      <c r="BP19" s="2" t="s">
        <v>95</v>
      </c>
      <c r="BQ19" s="2" t="s">
        <v>95</v>
      </c>
      <c r="BR19" s="2" t="s">
        <v>95</v>
      </c>
      <c r="BS19" s="2" t="s">
        <v>95</v>
      </c>
      <c r="BT19" s="2" t="s">
        <v>95</v>
      </c>
      <c r="BU19" s="2" t="s">
        <v>95</v>
      </c>
      <c r="BV19" s="2" t="s">
        <v>103</v>
      </c>
      <c r="BW19" s="2">
        <v>0.2456381684722186</v>
      </c>
    </row>
    <row r="20">
      <c r="A20" s="2">
        <v>129.0</v>
      </c>
      <c r="B20" s="2">
        <v>1863.0</v>
      </c>
      <c r="C20" s="3" t="s">
        <v>104</v>
      </c>
      <c r="D20" s="2" t="s">
        <v>288</v>
      </c>
      <c r="O20" s="2" t="s">
        <v>289</v>
      </c>
      <c r="P20" s="2" t="s">
        <v>78</v>
      </c>
      <c r="R20" s="2" t="s">
        <v>290</v>
      </c>
      <c r="S20" s="2" t="s">
        <v>80</v>
      </c>
      <c r="U20" s="2" t="s">
        <v>291</v>
      </c>
      <c r="X20" s="2" t="s">
        <v>82</v>
      </c>
      <c r="Y20" s="2" t="s">
        <v>83</v>
      </c>
      <c r="AB20" s="2" t="s">
        <v>85</v>
      </c>
      <c r="AG20" s="2" t="s">
        <v>122</v>
      </c>
      <c r="AH20" s="2" t="s">
        <v>292</v>
      </c>
      <c r="AI20" s="2" t="s">
        <v>90</v>
      </c>
      <c r="AJ20" s="2" t="s">
        <v>220</v>
      </c>
      <c r="AK20" s="2" t="s">
        <v>293</v>
      </c>
      <c r="AL20" s="2">
        <v>1.092819713078E-6</v>
      </c>
      <c r="AM20" s="2">
        <v>0.01815058745578098</v>
      </c>
      <c r="AO20" s="2" t="s">
        <v>93</v>
      </c>
      <c r="AQ20" s="2" t="s">
        <v>294</v>
      </c>
      <c r="AR20" s="2" t="s">
        <v>95</v>
      </c>
      <c r="AS20" s="2" t="s">
        <v>95</v>
      </c>
      <c r="AT20" s="2" t="s">
        <v>95</v>
      </c>
      <c r="AU20" s="2" t="s">
        <v>95</v>
      </c>
      <c r="AV20" s="2" t="s">
        <v>95</v>
      </c>
      <c r="AW20" s="2" t="s">
        <v>95</v>
      </c>
      <c r="AX20" s="2" t="s">
        <v>96</v>
      </c>
      <c r="AY20" s="2" t="s">
        <v>97</v>
      </c>
      <c r="BC20" s="2" t="s">
        <v>93</v>
      </c>
      <c r="BD20" s="2" t="s">
        <v>295</v>
      </c>
      <c r="BF20" s="2">
        <v>214.0</v>
      </c>
      <c r="BG20" s="2" t="s">
        <v>99</v>
      </c>
      <c r="BJ20" s="2" t="s">
        <v>100</v>
      </c>
      <c r="BK20" s="2" t="s">
        <v>101</v>
      </c>
      <c r="BL20" s="2">
        <v>923.0</v>
      </c>
      <c r="BM20" s="2" t="s">
        <v>102</v>
      </c>
      <c r="BN20" s="2">
        <v>4.625055412523788E7</v>
      </c>
      <c r="BO20" s="2">
        <v>63465.66997241383</v>
      </c>
      <c r="BP20" s="2" t="s">
        <v>95</v>
      </c>
      <c r="BQ20" s="2" t="s">
        <v>95</v>
      </c>
      <c r="BR20" s="2" t="s">
        <v>95</v>
      </c>
      <c r="BS20" s="2" t="s">
        <v>95</v>
      </c>
      <c r="BT20" s="2" t="s">
        <v>95</v>
      </c>
      <c r="BU20" s="2" t="s">
        <v>95</v>
      </c>
      <c r="BV20" s="2" t="s">
        <v>103</v>
      </c>
      <c r="BW20" s="2">
        <v>0.2126855823898491</v>
      </c>
    </row>
    <row r="21" ht="15.75" customHeight="1">
      <c r="A21" s="2">
        <v>224.0</v>
      </c>
      <c r="B21" s="2">
        <v>1963.0</v>
      </c>
      <c r="C21" s="3" t="s">
        <v>104</v>
      </c>
      <c r="D21" s="2" t="s">
        <v>296</v>
      </c>
      <c r="O21" s="2" t="s">
        <v>297</v>
      </c>
      <c r="P21" s="2" t="s">
        <v>78</v>
      </c>
      <c r="R21" s="2" t="s">
        <v>199</v>
      </c>
      <c r="S21" s="2" t="s">
        <v>80</v>
      </c>
      <c r="U21" s="2" t="s">
        <v>298</v>
      </c>
      <c r="X21" s="2" t="s">
        <v>82</v>
      </c>
      <c r="Y21" s="2" t="s">
        <v>83</v>
      </c>
      <c r="AB21" s="2" t="s">
        <v>153</v>
      </c>
      <c r="AE21" s="2" t="s">
        <v>110</v>
      </c>
      <c r="AF21" s="2" t="s">
        <v>201</v>
      </c>
      <c r="AG21" s="2" t="s">
        <v>88</v>
      </c>
      <c r="AH21" s="2" t="s">
        <v>299</v>
      </c>
      <c r="AI21" s="2" t="s">
        <v>90</v>
      </c>
      <c r="AJ21" s="2" t="s">
        <v>300</v>
      </c>
      <c r="AK21" s="2" t="s">
        <v>301</v>
      </c>
      <c r="AL21" s="2">
        <v>1.672732493568001E-6</v>
      </c>
      <c r="AM21" s="2">
        <v>0.02360336354819087</v>
      </c>
      <c r="AO21" s="2" t="s">
        <v>93</v>
      </c>
      <c r="AQ21" s="2" t="s">
        <v>94</v>
      </c>
      <c r="AR21" s="2" t="s">
        <v>95</v>
      </c>
      <c r="AS21" s="2" t="s">
        <v>95</v>
      </c>
      <c r="AT21" s="2" t="s">
        <v>95</v>
      </c>
      <c r="AU21" s="2" t="s">
        <v>95</v>
      </c>
      <c r="AV21" s="2" t="s">
        <v>95</v>
      </c>
      <c r="AW21" s="2" t="s">
        <v>95</v>
      </c>
      <c r="AX21" s="2" t="s">
        <v>96</v>
      </c>
      <c r="AY21" s="2" t="s">
        <v>97</v>
      </c>
      <c r="BB21" s="2" t="s">
        <v>156</v>
      </c>
      <c r="BC21" s="2" t="s">
        <v>93</v>
      </c>
      <c r="BD21" s="2" t="s">
        <v>98</v>
      </c>
      <c r="BF21" s="2">
        <v>214.0</v>
      </c>
      <c r="BG21" s="2" t="s">
        <v>99</v>
      </c>
      <c r="BJ21" s="2" t="s">
        <v>100</v>
      </c>
      <c r="BK21" s="2" t="s">
        <v>101</v>
      </c>
      <c r="BL21" s="2">
        <v>923.0</v>
      </c>
      <c r="BM21" s="2" t="s">
        <v>102</v>
      </c>
      <c r="BN21" s="2">
        <v>4.625055412523788E7</v>
      </c>
      <c r="BO21" s="2">
        <v>63465.66997241383</v>
      </c>
      <c r="BP21" s="2" t="s">
        <v>95</v>
      </c>
      <c r="BQ21" s="2" t="s">
        <v>95</v>
      </c>
      <c r="BR21" s="2" t="s">
        <v>95</v>
      </c>
      <c r="BS21" s="2" t="s">
        <v>95</v>
      </c>
      <c r="BT21" s="2" t="s">
        <v>95</v>
      </c>
      <c r="BU21" s="2" t="s">
        <v>95</v>
      </c>
      <c r="BV21" s="2" t="s">
        <v>103</v>
      </c>
      <c r="BW21" s="2">
        <v>0.1559369614582305</v>
      </c>
    </row>
    <row r="22" ht="15.75" customHeight="1">
      <c r="A22" s="2">
        <v>188.0</v>
      </c>
      <c r="B22" s="2">
        <v>1942.0</v>
      </c>
      <c r="C22" s="3" t="s">
        <v>117</v>
      </c>
      <c r="D22" s="2" t="s">
        <v>302</v>
      </c>
      <c r="O22" s="2" t="s">
        <v>303</v>
      </c>
      <c r="P22" s="2" t="s">
        <v>78</v>
      </c>
      <c r="R22" s="2" t="s">
        <v>304</v>
      </c>
      <c r="S22" s="2" t="s">
        <v>80</v>
      </c>
      <c r="U22" s="2" t="s">
        <v>305</v>
      </c>
      <c r="X22" s="2" t="s">
        <v>82</v>
      </c>
      <c r="Y22" s="2" t="s">
        <v>83</v>
      </c>
      <c r="Z22" s="2" t="s">
        <v>306</v>
      </c>
      <c r="AB22" s="2" t="s">
        <v>85</v>
      </c>
      <c r="AE22" s="2" t="s">
        <v>307</v>
      </c>
      <c r="AF22" s="2" t="s">
        <v>308</v>
      </c>
      <c r="AG22" s="2" t="s">
        <v>88</v>
      </c>
      <c r="AH22" s="2" t="s">
        <v>309</v>
      </c>
      <c r="AI22" s="2" t="s">
        <v>90</v>
      </c>
      <c r="AJ22" s="2" t="s">
        <v>124</v>
      </c>
      <c r="AK22" s="2" t="s">
        <v>310</v>
      </c>
      <c r="AL22" s="2">
        <v>3.176620734560001E-7</v>
      </c>
      <c r="AM22" s="2">
        <v>0.002785054771350164</v>
      </c>
      <c r="AO22" s="2" t="s">
        <v>93</v>
      </c>
      <c r="AQ22" s="2" t="s">
        <v>94</v>
      </c>
      <c r="AR22" s="2" t="s">
        <v>95</v>
      </c>
      <c r="AS22" s="2" t="s">
        <v>95</v>
      </c>
      <c r="AT22" s="2" t="s">
        <v>95</v>
      </c>
      <c r="AU22" s="2" t="s">
        <v>95</v>
      </c>
      <c r="AV22" s="2" t="s">
        <v>95</v>
      </c>
      <c r="AW22" s="2" t="s">
        <v>95</v>
      </c>
      <c r="AX22" s="2" t="s">
        <v>96</v>
      </c>
      <c r="AY22" s="2" t="s">
        <v>97</v>
      </c>
      <c r="BC22" s="2" t="s">
        <v>93</v>
      </c>
      <c r="BD22" s="2" t="s">
        <v>98</v>
      </c>
      <c r="BF22" s="2">
        <v>214.0</v>
      </c>
      <c r="BG22" s="2" t="s">
        <v>99</v>
      </c>
      <c r="BJ22" s="2" t="s">
        <v>100</v>
      </c>
      <c r="BK22" s="2" t="s">
        <v>101</v>
      </c>
      <c r="BL22" s="2">
        <v>923.0</v>
      </c>
      <c r="BM22" s="2" t="s">
        <v>102</v>
      </c>
      <c r="BN22" s="2">
        <v>4.625055412523788E7</v>
      </c>
      <c r="BO22" s="2">
        <v>63465.66997241383</v>
      </c>
      <c r="BP22" s="2" t="s">
        <v>95</v>
      </c>
      <c r="BQ22" s="2" t="s">
        <v>95</v>
      </c>
      <c r="BR22" s="2" t="s">
        <v>95</v>
      </c>
      <c r="BS22" s="2" t="s">
        <v>95</v>
      </c>
      <c r="BT22" s="2" t="s">
        <v>95</v>
      </c>
      <c r="BU22" s="2" t="s">
        <v>95</v>
      </c>
      <c r="BV22" s="2" t="s">
        <v>103</v>
      </c>
      <c r="BW22" s="2">
        <v>0.03343978062173803</v>
      </c>
    </row>
    <row r="23" ht="15.75" customHeight="1">
      <c r="A23" s="2">
        <v>278.0</v>
      </c>
      <c r="B23" s="2">
        <v>2314.0</v>
      </c>
      <c r="C23" s="3" t="s">
        <v>104</v>
      </c>
      <c r="D23" s="2" t="s">
        <v>311</v>
      </c>
      <c r="O23" s="2" t="s">
        <v>312</v>
      </c>
      <c r="P23" s="2" t="s">
        <v>78</v>
      </c>
      <c r="R23" s="2" t="s">
        <v>313</v>
      </c>
      <c r="S23" s="2" t="s">
        <v>80</v>
      </c>
      <c r="U23" s="2" t="s">
        <v>313</v>
      </c>
      <c r="X23" s="2" t="s">
        <v>108</v>
      </c>
      <c r="Y23" s="2" t="s">
        <v>83</v>
      </c>
      <c r="Z23" s="2" t="s">
        <v>314</v>
      </c>
      <c r="AB23" s="2" t="s">
        <v>188</v>
      </c>
      <c r="AE23" s="2" t="s">
        <v>110</v>
      </c>
      <c r="AF23" s="2" t="s">
        <v>201</v>
      </c>
      <c r="AG23" s="2" t="s">
        <v>90</v>
      </c>
      <c r="AH23" s="2" t="s">
        <v>315</v>
      </c>
      <c r="AI23" s="2" t="s">
        <v>90</v>
      </c>
      <c r="AJ23" s="2" t="s">
        <v>113</v>
      </c>
      <c r="AK23" s="2" t="s">
        <v>316</v>
      </c>
      <c r="AL23" s="2">
        <v>2.840119137792001E-6</v>
      </c>
      <c r="AM23" s="2">
        <v>0.01298100937675194</v>
      </c>
      <c r="AO23" s="2" t="s">
        <v>93</v>
      </c>
      <c r="AR23" s="2" t="s">
        <v>95</v>
      </c>
      <c r="AS23" s="2" t="s">
        <v>95</v>
      </c>
      <c r="AT23" s="2" t="s">
        <v>95</v>
      </c>
      <c r="AU23" s="2" t="s">
        <v>95</v>
      </c>
      <c r="AV23" s="2" t="s">
        <v>95</v>
      </c>
      <c r="AW23" s="2" t="s">
        <v>95</v>
      </c>
      <c r="AX23" s="2" t="s">
        <v>96</v>
      </c>
      <c r="AY23" s="2" t="s">
        <v>116</v>
      </c>
      <c r="BB23" s="2" t="s">
        <v>195</v>
      </c>
      <c r="BC23" s="2" t="s">
        <v>93</v>
      </c>
      <c r="BF23" s="2">
        <v>214.0</v>
      </c>
      <c r="BG23" s="2" t="s">
        <v>99</v>
      </c>
      <c r="BJ23" s="2" t="s">
        <v>100</v>
      </c>
      <c r="BK23" s="2" t="s">
        <v>101</v>
      </c>
      <c r="BL23" s="2">
        <v>923.0</v>
      </c>
      <c r="BM23" s="2" t="s">
        <v>102</v>
      </c>
      <c r="BN23" s="2">
        <v>4.625055412523788E7</v>
      </c>
      <c r="BO23" s="2">
        <v>63465.66997241383</v>
      </c>
      <c r="BP23" s="2" t="s">
        <v>95</v>
      </c>
      <c r="BQ23" s="2" t="s">
        <v>95</v>
      </c>
      <c r="BR23" s="2" t="s">
        <v>95</v>
      </c>
      <c r="BS23" s="2" t="s">
        <v>95</v>
      </c>
      <c r="BT23" s="2" t="s">
        <v>95</v>
      </c>
      <c r="BU23" s="2" t="s">
        <v>95</v>
      </c>
      <c r="BV23" s="2" t="s">
        <v>103</v>
      </c>
      <c r="BW23" s="2">
        <v>0.01511583718294087</v>
      </c>
    </row>
    <row r="24" ht="15.75" customHeight="1">
      <c r="A24" s="2">
        <v>297.0</v>
      </c>
      <c r="B24" s="2">
        <v>2491.0</v>
      </c>
      <c r="C24" s="3" t="s">
        <v>104</v>
      </c>
      <c r="D24" s="2" t="s">
        <v>317</v>
      </c>
      <c r="O24" s="2" t="s">
        <v>318</v>
      </c>
      <c r="P24" s="2" t="s">
        <v>78</v>
      </c>
      <c r="R24" s="2" t="s">
        <v>319</v>
      </c>
      <c r="S24" s="2" t="s">
        <v>80</v>
      </c>
      <c r="U24" s="2" t="s">
        <v>320</v>
      </c>
      <c r="X24" s="2" t="s">
        <v>82</v>
      </c>
      <c r="Y24" s="2" t="s">
        <v>83</v>
      </c>
      <c r="Z24" s="2" t="s">
        <v>321</v>
      </c>
      <c r="AB24" s="2" t="s">
        <v>277</v>
      </c>
      <c r="AE24" s="2" t="s">
        <v>322</v>
      </c>
      <c r="AF24" s="2" t="s">
        <v>323</v>
      </c>
      <c r="AG24" s="2" t="s">
        <v>90</v>
      </c>
      <c r="AH24" s="2" t="s">
        <v>324</v>
      </c>
      <c r="AI24" s="2" t="s">
        <v>90</v>
      </c>
      <c r="AJ24" s="2" t="s">
        <v>325</v>
      </c>
      <c r="AK24" s="2" t="s">
        <v>326</v>
      </c>
      <c r="AL24" s="2">
        <v>7.405001303850002E-8</v>
      </c>
      <c r="AM24" s="2">
        <v>0.001238557175934807</v>
      </c>
      <c r="AO24" s="2" t="s">
        <v>93</v>
      </c>
      <c r="AQ24" s="2" t="s">
        <v>194</v>
      </c>
      <c r="AR24" s="2" t="s">
        <v>95</v>
      </c>
      <c r="AS24" s="2" t="s">
        <v>95</v>
      </c>
      <c r="AT24" s="2" t="s">
        <v>95</v>
      </c>
      <c r="AU24" s="2" t="s">
        <v>95</v>
      </c>
      <c r="AV24" s="2" t="s">
        <v>95</v>
      </c>
      <c r="AW24" s="2" t="s">
        <v>95</v>
      </c>
      <c r="AX24" s="2" t="s">
        <v>96</v>
      </c>
      <c r="AY24" s="2" t="s">
        <v>97</v>
      </c>
      <c r="BB24" s="2" t="s">
        <v>280</v>
      </c>
      <c r="BC24" s="2" t="s">
        <v>93</v>
      </c>
      <c r="BD24" s="2" t="s">
        <v>196</v>
      </c>
      <c r="BF24" s="2">
        <v>214.0</v>
      </c>
      <c r="BG24" s="2" t="s">
        <v>99</v>
      </c>
      <c r="BJ24" s="2" t="s">
        <v>100</v>
      </c>
      <c r="BK24" s="2" t="s">
        <v>101</v>
      </c>
      <c r="BL24" s="2">
        <v>923.0</v>
      </c>
      <c r="BM24" s="2" t="s">
        <v>102</v>
      </c>
      <c r="BN24" s="2">
        <v>4.625055412523788E7</v>
      </c>
      <c r="BO24" s="2">
        <v>63465.66997241383</v>
      </c>
      <c r="BP24" s="2" t="s">
        <v>95</v>
      </c>
      <c r="BQ24" s="2" t="s">
        <v>95</v>
      </c>
      <c r="BR24" s="2" t="s">
        <v>95</v>
      </c>
      <c r="BS24" s="2" t="s">
        <v>95</v>
      </c>
      <c r="BT24" s="2" t="s">
        <v>95</v>
      </c>
      <c r="BU24" s="2" t="s">
        <v>95</v>
      </c>
      <c r="BV24" s="2" t="s">
        <v>103</v>
      </c>
      <c r="BW24" s="2">
        <v>0.0147529798074941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98FF218-C35D-4404-BA40-732FBC964FAA}" filter="1" showAutoFilter="1">
      <autoFilter ref="$A$1:$BW$24"/>
      <extLst>
        <ext uri="GoogleSheetsCustomDataVersion1">
          <go:sheetsCustomData xmlns:go="http://customooxmlschemas.google.com/" filterViewId="911627934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75"/>
    <col customWidth="1" min="2" max="2" width="26.13"/>
    <col customWidth="1" min="3" max="3" width="12.0"/>
    <col customWidth="1" min="4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>
      <c r="A27" s="6"/>
      <c r="B27" s="4"/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26.13"/>
    <col customWidth="1" min="3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26.13"/>
    <col customWidth="1" min="3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10">
      <c r="B10" s="5">
        <f>SUM(B2:B5)</f>
        <v>23.55108515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25"/>
  </cols>
  <sheetData>
    <row r="1">
      <c r="A1" s="7" t="s">
        <v>330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