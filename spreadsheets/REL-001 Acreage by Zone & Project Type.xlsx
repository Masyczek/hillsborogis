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" sheetId="2" r:id="rId6"/>
    <sheet state="visible" name="Visualization" sheetId="3" r:id="rId7"/>
    <sheet state="visible" name="Findings" sheetId="4" r:id="rId8"/>
  </sheets>
  <definedNames>
    <definedName hidden="1" localSheetId="0" name="_xlnm._FilterDatabase">Data!$A$1:$Z$86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<sst xmlns="http://schemas.openxmlformats.org/spreadsheetml/2006/main" count="333" uniqueCount="75">
  <si>
    <t>Comparing construction-project boundaries with zoning districts revealed a pronounced concentration of Developer Industrial activity within Hillsboro's Industrial Sanctuary. This stood out from the broader zoning distribution and warranted further investigation.</t>
  </si>
  <si>
    <t>fid</t>
  </si>
  <si>
    <t>PROJECT_TYPE</t>
  </si>
  <si>
    <t>SUM of sum</t>
  </si>
  <si>
    <t>PROJECT_TYPE_LABEL</t>
  </si>
  <si>
    <t>DESCRIPTIO_LABEL</t>
  </si>
  <si>
    <t>count</t>
  </si>
  <si>
    <t>unique</t>
  </si>
  <si>
    <t>min</t>
  </si>
  <si>
    <t>Commercial - General</t>
  </si>
  <si>
    <t>Commercial - Neighborhood</t>
  </si>
  <si>
    <t>County</t>
  </si>
  <si>
    <t>Industrial - General</t>
  </si>
  <si>
    <t>max</t>
  </si>
  <si>
    <t>Industrial Park</t>
  </si>
  <si>
    <t>Industrial Sanctuary</t>
  </si>
  <si>
    <t>Mixed-Use - Commercial</t>
  </si>
  <si>
    <t>Mixed-Use - Neighborhood</t>
  </si>
  <si>
    <t>Mixed-Use - Village Town Center</t>
  </si>
  <si>
    <t>MR-1 Multi-Dwelling Residential</t>
  </si>
  <si>
    <t>MR-2 Multi-Dwelling Residential</t>
  </si>
  <si>
    <t>range</t>
  </si>
  <si>
    <t>MR-3 Multi-Dwelling Residential</t>
  </si>
  <si>
    <t>R-10 Residential</t>
  </si>
  <si>
    <t>R-4.5 Residential</t>
  </si>
  <si>
    <t>R-6 Residential</t>
  </si>
  <si>
    <t>R-7 Residential</t>
  </si>
  <si>
    <t>R-8.5 Residential</t>
  </si>
  <si>
    <t>sum</t>
  </si>
  <si>
    <t>Recent Annexation</t>
  </si>
  <si>
    <t>Shute Road Special Industrial District</t>
  </si>
  <si>
    <t>Station Community Commercial - Business Park</t>
  </si>
  <si>
    <t>Station Community Commercial - Downtown District</t>
  </si>
  <si>
    <t>Station Community Fair Complex Institutional</t>
  </si>
  <si>
    <t>Station Community Industrial</t>
  </si>
  <si>
    <t>mean</t>
  </si>
  <si>
    <t>Station Community Residential - Downtown Neighborhood Conservation</t>
  </si>
  <si>
    <t>Station Community Residential - High Density</t>
  </si>
  <si>
    <t>Station Community Residential - Low Density</t>
  </si>
  <si>
    <t>Station Community Residential - Medium Density</t>
  </si>
  <si>
    <t>Station Community Residential - Village</t>
  </si>
  <si>
    <t>Urban Center - Activity Center</t>
  </si>
  <si>
    <t>Urban Center - Mixed-Use Urban Density</t>
  </si>
  <si>
    <t>median</t>
  </si>
  <si>
    <t>Urban Center - Neighborhood Center</t>
  </si>
  <si>
    <t>Urban Center - Office / Research</t>
  </si>
  <si>
    <t>Urban Center - Research Park</t>
  </si>
  <si>
    <t>DEVRE</t>
  </si>
  <si>
    <t>Developer Residential Project</t>
  </si>
  <si>
    <t>stddev</t>
  </si>
  <si>
    <t>minority</t>
  </si>
  <si>
    <t>majority</t>
  </si>
  <si>
    <t>q1</t>
  </si>
  <si>
    <t>q3</t>
  </si>
  <si>
    <t>iqr</t>
  </si>
  <si>
    <t>Column 19</t>
  </si>
  <si>
    <t>DEVIND</t>
  </si>
  <si>
    <t>Developer Industrial Project</t>
  </si>
  <si>
    <t>Column 20</t>
  </si>
  <si>
    <t>Column 21</t>
  </si>
  <si>
    <t>JOTH</t>
  </si>
  <si>
    <t>Other Jurisdiction</t>
  </si>
  <si>
    <t>Column 22</t>
  </si>
  <si>
    <t>Column 23</t>
  </si>
  <si>
    <t>Column 24</t>
  </si>
  <si>
    <t>Column 25</t>
  </si>
  <si>
    <t>DEVCO</t>
  </si>
  <si>
    <t>Developer Commercial Project</t>
  </si>
  <si>
    <t>Column 26</t>
  </si>
  <si>
    <t>CIPF</t>
  </si>
  <si>
    <t>CIP Facilities Project</t>
  </si>
  <si>
    <t>CIPSS</t>
  </si>
  <si>
    <t>CIP Sanitary Storm Division Project</t>
  </si>
  <si>
    <t>CIP</t>
  </si>
  <si>
    <t>CIP Division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</si>
</sst>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Construction Project Acreage by Development Type and Zoning District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Table'!$D$1:$D$2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Table'!$D$3:$D$1000</c:f>
              <c:numCache/>
            </c:numRef>
          </c:val>
        </c:ser>
        <c:ser>
          <c:idx val="1"/>
          <c:order val="1"/>
          <c:tx>
            <c:strRef>
              <c:f>'Pivot Table'!$E$1:$E$2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Table'!$E$3:$E$1000</c:f>
              <c:numCache/>
            </c:numRef>
          </c:val>
        </c:ser>
        <c:ser>
          <c:idx val="2"/>
          <c:order val="2"/>
          <c:tx>
            <c:strRef>
              <c:f>'Pivot Table'!$F$1:$F$2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Table'!$F$3:$F$1000</c:f>
              <c:numCache/>
            </c:numRef>
          </c:val>
        </c:ser>
        <c:ser>
          <c:idx val="3"/>
          <c:order val="3"/>
          <c:tx>
            <c:strRef>
              <c:f>'Pivot Table'!$G$1:$G$2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Table'!$G$3:$G$1000</c:f>
              <c:numCache/>
            </c:numRef>
          </c:val>
        </c:ser>
        <c:ser>
          <c:idx val="4"/>
          <c:order val="4"/>
          <c:tx>
            <c:strRef>
              <c:f>'Pivot Table'!$H$1:$H$2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Table'!$H$3:$H$1000</c:f>
              <c:numCache/>
            </c:numRef>
          </c:val>
        </c:ser>
        <c:ser>
          <c:idx val="5"/>
          <c:order val="5"/>
          <c:tx>
            <c:strRef>
              <c:f>'Pivot Table'!$I$1:$I$2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Table'!$I$3:$I$1000</c:f>
              <c:numCache/>
            </c:numRef>
          </c:val>
        </c:ser>
        <c:ser>
          <c:idx val="6"/>
          <c:order val="6"/>
          <c:tx>
            <c:strRef>
              <c:f>'Pivot Table'!$J$1:$J$2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Table'!$J$3:$J$1000</c:f>
              <c:numCache/>
            </c:numRef>
          </c:val>
        </c:ser>
        <c:ser>
          <c:idx val="7"/>
          <c:order val="7"/>
          <c:tx>
            <c:strRef>
              <c:f>'Pivot Table'!$K$1:$K$2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Table'!$K$3:$K$1000</c:f>
              <c:numCache/>
            </c:numRef>
          </c:val>
        </c:ser>
        <c:ser>
          <c:idx val="8"/>
          <c:order val="8"/>
          <c:tx>
            <c:strRef>
              <c:f>'Pivot Table'!$L$1:$L$2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Table'!$L$3:$L$1000</c:f>
              <c:numCache/>
            </c:numRef>
          </c:val>
        </c:ser>
        <c:ser>
          <c:idx val="9"/>
          <c:order val="9"/>
          <c:tx>
            <c:strRef>
              <c:f>'Pivot Table'!$M$1:$M$2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Table'!$M$3:$M$1000</c:f>
              <c:numCache/>
            </c:numRef>
          </c:val>
        </c:ser>
        <c:ser>
          <c:idx val="10"/>
          <c:order val="10"/>
          <c:tx>
            <c:strRef>
              <c:f>'Pivot Table'!$N$1:$N$2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Table'!$N$3:$N$1000</c:f>
              <c:numCache/>
            </c:numRef>
          </c:val>
        </c:ser>
        <c:ser>
          <c:idx val="11"/>
          <c:order val="11"/>
          <c:tx>
            <c:strRef>
              <c:f>'Pivot Table'!$O$1:$O$2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Table'!$O$3:$O$1000</c:f>
              <c:numCache/>
            </c:numRef>
          </c:val>
        </c:ser>
        <c:ser>
          <c:idx val="12"/>
          <c:order val="12"/>
          <c:tx>
            <c:strRef>
              <c:f>'Pivot Table'!$P$1:$P$2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Table'!$P$3:$P$1000</c:f>
              <c:numCache/>
            </c:numRef>
          </c:val>
        </c:ser>
        <c:ser>
          <c:idx val="13"/>
          <c:order val="13"/>
          <c:tx>
            <c:strRef>
              <c:f>'Pivot Table'!$Q$1:$Q$2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Table'!$Q$3:$Q$1000</c:f>
              <c:numCache/>
            </c:numRef>
          </c:val>
        </c:ser>
        <c:ser>
          <c:idx val="14"/>
          <c:order val="14"/>
          <c:tx>
            <c:strRef>
              <c:f>'Pivot Table'!$R$1:$R$2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Table'!$R$3:$R$1000</c:f>
              <c:numCache/>
            </c:numRef>
          </c:val>
        </c:ser>
        <c:ser>
          <c:idx val="15"/>
          <c:order val="15"/>
          <c:tx>
            <c:strRef>
              <c:f>'Pivot Table'!$S$1:$S$2</c:f>
            </c:strRef>
          </c:tx>
          <c:spPr>
            <a:solidFill>
              <a:schemeClr val="accent4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Table'!$S$3:$S$1000</c:f>
              <c:numCache/>
            </c:numRef>
          </c:val>
        </c:ser>
        <c:ser>
          <c:idx val="16"/>
          <c:order val="16"/>
          <c:tx>
            <c:strRef>
              <c:f>'Pivot Table'!$T$1:$T$2</c:f>
            </c:strRef>
          </c:tx>
          <c:spPr>
            <a:solidFill>
              <a:schemeClr val="accent5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Table'!$T$3:$T$1000</c:f>
              <c:numCache/>
            </c:numRef>
          </c:val>
        </c:ser>
        <c:ser>
          <c:idx val="17"/>
          <c:order val="17"/>
          <c:tx>
            <c:strRef>
              <c:f>'Pivot Table'!$U$1:$U$2</c:f>
            </c:strRef>
          </c:tx>
          <c:spPr>
            <a:solidFill>
              <a:schemeClr val="accent6">
                <a:lumOff val="6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Table'!$U$3:$U$1000</c:f>
              <c:numCache/>
            </c:numRef>
          </c:val>
        </c:ser>
        <c:ser>
          <c:idx val="18"/>
          <c:order val="18"/>
          <c:tx>
            <c:strRef>
              <c:f>'Pivot Table'!$V$1:$V$2</c:f>
            </c:strRef>
          </c:tx>
          <c:spPr>
            <a:solidFill>
              <a:schemeClr val="accent1">
                <a:lumOff val="9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Table'!$V$3:$V$1000</c:f>
              <c:numCache/>
            </c:numRef>
          </c:val>
        </c:ser>
        <c:ser>
          <c:idx val="19"/>
          <c:order val="19"/>
          <c:tx>
            <c:strRef>
              <c:f>'Pivot Table'!$W$1:$W$2</c:f>
            </c:strRef>
          </c:tx>
          <c:spPr>
            <a:solidFill>
              <a:schemeClr val="accent2">
                <a:lumOff val="9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Table'!$W$3:$W$1000</c:f>
              <c:numCache/>
            </c:numRef>
          </c:val>
        </c:ser>
        <c:ser>
          <c:idx val="20"/>
          <c:order val="20"/>
          <c:tx>
            <c:strRef>
              <c:f>'Pivot Table'!$X$1:$X$2</c:f>
            </c:strRef>
          </c:tx>
          <c:spPr>
            <a:solidFill>
              <a:schemeClr val="accent3">
                <a:lumOff val="9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Table'!$X$3:$X$1000</c:f>
              <c:numCache/>
            </c:numRef>
          </c:val>
        </c:ser>
        <c:ser>
          <c:idx val="21"/>
          <c:order val="21"/>
          <c:tx>
            <c:strRef>
              <c:f>'Pivot Table'!$Y$1:$Y$2</c:f>
            </c:strRef>
          </c:tx>
          <c:spPr>
            <a:solidFill>
              <a:schemeClr val="accent4">
                <a:lumOff val="9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Table'!$Y$3:$Y$1000</c:f>
              <c:numCache/>
            </c:numRef>
          </c:val>
        </c:ser>
        <c:ser>
          <c:idx val="22"/>
          <c:order val="22"/>
          <c:tx>
            <c:strRef>
              <c:f>'Pivot Table'!$Z$1:$Z$2</c:f>
            </c:strRef>
          </c:tx>
          <c:spPr>
            <a:solidFill>
              <a:schemeClr val="accent5">
                <a:lumOff val="9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Table'!$Z$3:$Z$1000</c:f>
              <c:numCache/>
            </c:numRef>
          </c:val>
        </c:ser>
        <c:ser>
          <c:idx val="23"/>
          <c:order val="23"/>
          <c:tx>
            <c:strRef>
              <c:f>'Pivot Table'!$AA$1:$AA$2</c:f>
            </c:strRef>
          </c:tx>
          <c:spPr>
            <a:solidFill>
              <a:schemeClr val="accent6">
                <a:lumOff val="9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Table'!$AA$3:$AA$1000</c:f>
              <c:numCache/>
            </c:numRef>
          </c:val>
        </c:ser>
        <c:ser>
          <c:idx val="24"/>
          <c:order val="24"/>
          <c:tx>
            <c:strRef>
              <c:f>'Pivot Table'!$AB$1:$AB$2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Table'!$AB$3:$AB$1000</c:f>
              <c:numCache/>
            </c:numRef>
          </c:val>
        </c:ser>
        <c:ser>
          <c:idx val="25"/>
          <c:order val="25"/>
          <c:tx>
            <c:strRef>
              <c:f>'Pivot Table'!$AC$1:$AC$2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Table'!$AC$3:$AC$1000</c:f>
              <c:numCache/>
            </c:numRef>
          </c:val>
        </c:ser>
        <c:ser>
          <c:idx val="26"/>
          <c:order val="26"/>
          <c:tx>
            <c:strRef>
              <c:f>'Pivot Table'!$AD$1:$AD$2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Table'!$AD$3:$AD$1000</c:f>
              <c:numCache/>
            </c:numRef>
          </c:val>
        </c:ser>
        <c:ser>
          <c:idx val="27"/>
          <c:order val="27"/>
          <c:tx>
            <c:strRef>
              <c:f>'Pivot Table'!$AE$1:$AE$2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Table'!$AE$3:$AE$1000</c:f>
              <c:numCache/>
            </c:numRef>
          </c:val>
        </c:ser>
        <c:ser>
          <c:idx val="28"/>
          <c:order val="28"/>
          <c:tx>
            <c:strRef>
              <c:f>'Pivot Table'!$AF$1:$AF$2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Table'!$AF$3:$AF$1000</c:f>
              <c:numCache/>
            </c:numRef>
          </c:val>
        </c:ser>
        <c:ser>
          <c:idx val="29"/>
          <c:order val="29"/>
          <c:tx>
            <c:strRef>
              <c:f>'Pivot Table'!$AG$1:$AG$2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Table'!$AG$3:$AG$1000</c:f>
              <c:numCache/>
            </c:numRef>
          </c:val>
        </c:ser>
        <c:ser>
          <c:idx val="30"/>
          <c:order val="30"/>
          <c:tx>
            <c:strRef>
              <c:f>'Pivot Table'!$AH$1:$AH$2</c:f>
            </c:strRef>
          </c:tx>
          <c:spPr>
            <a:solidFill>
              <a:schemeClr val="accent1">
                <a:lumOff val="15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Table'!$AH$3:$AH$1000</c:f>
              <c:numCache/>
            </c:numRef>
          </c:val>
        </c:ser>
        <c:ser>
          <c:idx val="31"/>
          <c:order val="31"/>
          <c:tx>
            <c:strRef>
              <c:f>'Pivot Table'!$AI$1:$AI$2</c:f>
            </c:strRef>
          </c:tx>
          <c:spPr>
            <a:solidFill>
              <a:schemeClr val="accent2">
                <a:lumOff val="15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Table'!$AI$3:$AI$1000</c:f>
              <c:numCache/>
            </c:numRef>
          </c:val>
        </c:ser>
        <c:ser>
          <c:idx val="32"/>
          <c:order val="32"/>
          <c:tx>
            <c:strRef>
              <c:f>'Pivot Table'!$AJ$1:$AJ$2</c:f>
            </c:strRef>
          </c:tx>
          <c:spPr>
            <a:solidFill>
              <a:schemeClr val="accent3">
                <a:lumOff val="150000"/>
              </a:schemeClr>
            </a:solidFill>
            <a:ln cmpd="sng">
              <a:noFill/>
            </a:ln>
          </c:spPr>
          <c:invertIfNegative val="0"/>
          <c:cat>
            <c:strRef>
              <c:f>'Pivot Table'!$B$3:$B$1000</c:f>
            </c:strRef>
          </c:cat>
          <c:val>
            <c:numRef>
              <c:f>'Pivot Table'!$AJ$3:$AJ$1000</c:f>
              <c:numCache/>
            </c:numRef>
          </c:val>
        </c:ser>
        <c:ser>
          <c:idx val="33"/>
          <c:order val="33"/>
          <c:tx>
            <c:strRef>
              <c:f>'Pivot Table'!$AK$1:$AK$2</c:f>
            </c:strRef>
          </c:tx>
          <c:invertIfNegative val="0"/>
          <c:cat>
            <c:strRef>
              <c:f>'Pivot Table'!$B$3:$B$1000</c:f>
            </c:strRef>
          </c:cat>
          <c:val>
            <c:numRef>
              <c:f>'Pivot Table'!$AK$3:$AK$1000</c:f>
              <c:numCache/>
            </c:numRef>
          </c:val>
        </c:ser>
        <c:overlap val="100"/>
        <c:axId val="1200695888"/>
        <c:axId val="1016402180"/>
      </c:barChart>
      <c:catAx>
        <c:axId val="120069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402180"/>
      </c:catAx>
      <c:valAx>
        <c:axId val="1016402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Project Intersection Acreage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695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53925" cy="7639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Data"/>
  </cacheSource>
  <cacheFields>
    <cacheField name="fid" numFmtId="0">
      <sharedItems containsString="0" containsBlank="1" containsNumber="1" containsInteger="1">
        <n v="2.0"/>
        <n v="16.0"/>
        <n v="8.0"/>
        <n v="17.0"/>
        <n v="14.0"/>
        <n v="31.0"/>
        <n v="48.0"/>
        <n v="11.0"/>
        <n v="41.0"/>
        <n v="19.0"/>
        <n v="60.0"/>
        <n v="15.0"/>
        <n v="80.0"/>
        <n v="20.0"/>
        <n v="13.0"/>
        <n v="39.0"/>
        <n v="43.0"/>
        <n v="46.0"/>
        <n v="45.0"/>
        <n v="5.0"/>
        <n v="50.0"/>
        <n v="3.0"/>
        <n v="1.0"/>
        <n v="55.0"/>
        <n v="33.0"/>
        <n v="18.0"/>
        <n v="78.0"/>
        <n v="6.0"/>
        <n v="44.0"/>
        <n v="27.0"/>
        <n v="36.0"/>
        <n v="49.0"/>
        <n v="10.0"/>
        <n v="52.0"/>
        <n v="71.0"/>
        <n v="42.0"/>
        <n v="76.0"/>
        <n v="24.0"/>
        <n v="66.0"/>
        <n v="21.0"/>
        <n v="54.0"/>
        <n v="4.0"/>
        <n v="65.0"/>
        <n v="77.0"/>
        <n v="25.0"/>
        <n v="34.0"/>
        <n v="72.0"/>
        <n v="81.0"/>
        <n v="26.0"/>
        <n v="38.0"/>
        <n v="73.0"/>
        <n v="64.0"/>
        <n v="12.0"/>
        <n v="7.0"/>
        <n v="70.0"/>
        <n v="62.0"/>
        <n v="58.0"/>
        <n v="85.0"/>
        <n v="84.0"/>
        <n v="61.0"/>
        <n v="51.0"/>
        <n v="30.0"/>
        <n v="29.0"/>
        <n v="32.0"/>
        <n v="82.0"/>
        <n v="22.0"/>
        <n v="69.0"/>
        <n v="23.0"/>
        <n v="68.0"/>
        <n v="75.0"/>
        <n v="83.0"/>
        <n v="79.0"/>
        <n v="57.0"/>
        <n v="37.0"/>
        <n v="35.0"/>
        <n v="40.0"/>
        <n v="74.0"/>
        <n v="67.0"/>
        <n v="53.0"/>
        <n v="47.0"/>
        <n v="28.0"/>
        <n v="63.0"/>
        <n v="56.0"/>
        <n v="9.0"/>
        <n v="59.0"/>
        <m/>
      </sharedItems>
    </cacheField>
    <cacheField name="PROJECT_TYPE" numFmtId="0">
      <sharedItems containsBlank="1">
        <s v="DEVIND"/>
        <s v="DEVRE"/>
        <s v="JOTH"/>
        <s v="DEVCO"/>
        <s v="CIPF"/>
        <s v="CIPSS"/>
        <s v="CIP"/>
        <m/>
      </sharedItems>
    </cacheField>
    <cacheField name="PROJECT_TYPE_LABEL" numFmtId="0">
      <sharedItems containsBlank="1">
        <s v="Developer Industrial Project"/>
        <s v="Developer Residential Project"/>
        <s v="Other Jurisdiction"/>
        <s v="Developer Commercial Project"/>
        <s v="CIP Facilities Project"/>
        <s v="CIP Sanitary Storm Division Project"/>
        <s v="CIP Division Project"/>
        <m/>
      </sharedItems>
    </cacheField>
    <cacheField name="DESCRIPTIO_LABEL" numFmtId="0">
      <sharedItems containsBlank="1">
        <s v="Industrial Sanctuary"/>
        <s v="R-4.5 Residential"/>
        <s v="MR-1 Multi-Dwelling Residential"/>
        <s v="R-6 Residential"/>
        <s v="Mixed-Use - Village Town Center"/>
        <s v="Industrial Park"/>
        <s v="MR-2 Multi-Dwelling Residential"/>
        <s v="Commercial - General"/>
        <s v="MR-3 Multi-Dwelling Residential"/>
        <s v="Station Community Fair Complex Institutional"/>
        <s v="R-7 Residential"/>
        <s v="Industrial - General"/>
        <s v="Urban Center - Mixed-Use Urban Density"/>
        <s v="Urban Center - Office / Research"/>
        <s v="R-8.5 Residential"/>
        <s v="Station Community Commercial - Business Park"/>
        <s v="Urban Center - Research Park"/>
        <s v="Station Community Residential - Medium Density"/>
        <s v="Station Community Commercial - Downtown District"/>
        <s v="County"/>
        <s v="Mixed-Use - Commercial"/>
        <s v="Recent Annexation"/>
        <s v="Mixed-Use - Neighborhood"/>
        <s v="R-10 Residential"/>
        <s v="Station Community Residential - Downtown Neighborhood Conservation"/>
        <s v="Urban Center - Neighborhood Center"/>
        <s v="Station Community Residential - Low Density"/>
        <s v="Station Community Residential - High Density"/>
        <s v="Shute Road Special Industrial District"/>
        <s v="Station Community Industrial"/>
        <s v="Commercial - Neighborhood"/>
        <s v="Urban Center - Activity Center"/>
        <s v="Station Community Residential - Village"/>
        <m/>
      </sharedItems>
    </cacheField>
    <cacheField name="count" numFmtId="0">
      <sharedItems containsString="0" containsBlank="1" containsNumber="1" containsInteger="1">
        <n v="23.0"/>
        <n v="17.0"/>
        <n v="20.0"/>
        <n v="7.0"/>
        <n v="2.0"/>
        <n v="5.0"/>
        <n v="6.0"/>
        <n v="8.0"/>
        <n v="10.0"/>
        <n v="3.0"/>
        <n v="4.0"/>
        <n v="1.0"/>
        <n v="14.0"/>
        <m/>
      </sharedItems>
    </cacheField>
    <cacheField name="unique" numFmtId="0">
      <sharedItems containsString="0" containsBlank="1" containsNumber="1" containsInteger="1">
        <n v="23.0"/>
        <n v="17.0"/>
        <n v="20.0"/>
        <n v="7.0"/>
        <n v="2.0"/>
        <n v="5.0"/>
        <n v="6.0"/>
        <n v="8.0"/>
        <n v="9.0"/>
        <n v="3.0"/>
        <n v="4.0"/>
        <n v="1.0"/>
        <n v="14.0"/>
        <m/>
      </sharedItems>
    </cacheField>
    <cacheField name="min" numFmtId="0">
      <sharedItems containsString="0" containsBlank="1" containsNumber="1">
        <n v="0.0147529798074941"/>
        <n v="0.004909223128084067"/>
        <n v="2.434548197734906E-6"/>
        <n v="5.111993520802419E-4"/>
        <n v="0.04061071338964737"/>
        <n v="0.4457819682709146"/>
        <n v="0.003223714414871528"/>
        <n v="0.08063446969939635"/>
        <n v="0.01164983969972033"/>
        <n v="0.006272923866688501"/>
        <n v="9.5154890484163E-6"/>
        <n v="1.904170457612331E-6"/>
        <n v="2.267620439754054"/>
        <n v="0.01554680710223985"/>
        <n v="7.992261436019795E-5"/>
        <n v="0.2767333364933776"/>
        <n v="0.004785934226635306"/>
        <n v="0.1766158870825413"/>
        <n v="1.150691341757844E-4"/>
        <n v="0.01401746964297635"/>
        <n v="1.249128021272323"/>
        <n v="0.002414338909325496"/>
        <n v="0.01525183966621941"/>
        <n v="0.03728455544508626"/>
        <n v="0.1476425939307872"/>
        <n v="0.001426754437033829"/>
        <n v="0.7778925335109345"/>
        <n v="2.307542805495996E-4"/>
        <n v="0.3625793225807257"/>
        <n v="2.677300014269912E-4"/>
        <n v="0.2068674131388821"/>
        <n v="0.6592965882999953"/>
        <n v="0.01387012052417415"/>
        <n v="8.235796089424229E-4"/>
        <n v="0.4707250242848225"/>
        <n v="0.4602494991834873"/>
        <n v="0.1028877086507204"/>
        <n v="0.1519182645955308"/>
        <n v="0.3203649028027082"/>
        <n v="4.874179364604496E-5"/>
        <n v="0.2905454431030249"/>
        <n v="0.001761363193918567"/>
        <n v="0.2456899406050291"/>
        <n v="0.2058743079622631"/>
        <n v="0.05221238925933745"/>
        <n v="0.03699124331149746"/>
        <n v="0.1503672531394772"/>
        <n v="0.02638967089271395"/>
        <n v="0.00943529048617724"/>
        <n v="0.09061789275063771"/>
        <n v="0.08632806149902313"/>
        <n v="0.07897435709260042"/>
        <n v="0.01279292590506725"/>
        <n v="2.491491162352582E-4"/>
        <n v="6.586353083078821E-4"/>
        <n v="0.05058469473819756"/>
        <n v="0.02251357311007987"/>
        <n v="0.04335660397716149"/>
        <n v="2.483653461370751E-4"/>
        <n v="0.03986130609109358"/>
        <n v="0.004211305755642101"/>
        <n v="0.03339448815298323"/>
        <n v="0.03328841418871172"/>
        <n v="0.002217370942647631"/>
        <n v="0.02114674202392059"/>
        <n v="0.02111673848976168"/>
        <n v="0.0202110601936353"/>
        <n v="7.218732864421861E-4"/>
        <n v="0.004469312932233954"/>
        <n v="0.01337196419192555"/>
        <n v="0.01199770270776443"/>
        <n v="0.01191414083589946"/>
        <n v="0.01154678603188561"/>
        <n v="0.007349316163282058"/>
        <n v="0.007334503329908627"/>
        <n v="1.154418894772536E-5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4.009985426304723E-5"/>
        <m/>
      </sharedItems>
    </cacheField>
    <cacheField name="max" numFmtId="0">
      <sharedItems containsString="0" containsBlank="1" containsNumber="1">
        <n v="4.273199622704494"/>
        <n v="1.203307543313321"/>
        <n v="1.112645862313523"/>
        <n v="1.148797609661924"/>
        <n v="0.8319264571919326"/>
        <n v="3.434794270009911"/>
        <n v="1.966115046436846"/>
        <n v="1.356409213605795"/>
        <n v="1.167268876731062"/>
        <n v="1.749263528582111"/>
        <n v="2.526503014763588"/>
        <n v="1.226214369129595"/>
        <n v="2.267620439754054"/>
        <n v="0.9731855081888198"/>
        <n v="0.8764458632417459"/>
        <n v="0.7880530653444583"/>
        <n v="1.195114907692823"/>
        <n v="0.9920358920124336"/>
        <n v="1.038051334963511"/>
        <n v="0.6034181608584515"/>
        <n v="1.249128021272323"/>
        <n v="0.742091361777989"/>
        <n v="0.6414451240742074"/>
        <n v="0.6685432582526466"/>
        <n v="0.6264785299276039"/>
        <n v="0.3635023098401082"/>
        <n v="0.7778925335109345"/>
        <n v="0.7531284704222917"/>
        <n v="0.3625793225807257"/>
        <n v="0.5668855784052529"/>
        <n v="0.4684640232645402"/>
        <n v="0.6592965882999953"/>
        <n v="0.4180166385176953"/>
        <n v="0.550602595704347"/>
        <n v="0.4707250242848225"/>
        <n v="0.4602494991834873"/>
        <n v="0.3288699759964353"/>
        <n v="0.2329535078685469"/>
        <n v="0.3203649028027082"/>
        <n v="0.1646741824830453"/>
        <n v="0.2905454431030249"/>
        <n v="0.2491134479910824"/>
        <n v="0.2456899406050291"/>
        <n v="0.2058743079622631"/>
        <n v="0.1234589848632533"/>
        <n v="0.1375313904204261"/>
        <n v="0.1503672531394772"/>
        <n v="0.08901877849872389"/>
        <n v="0.02961802077075994"/>
        <n v="0.09061789275063771"/>
        <n v="0.08632806149902313"/>
        <n v="0.07897435709260042"/>
        <n v="0.04184255443721072"/>
        <n v="0.06294956651270187"/>
        <n v="0.0406581453978589"/>
        <n v="0.05058469473819756"/>
        <n v="0.02628836483532177"/>
        <n v="0.04335660397716149"/>
        <n v="0.02281981709286446"/>
        <n v="0.03986130609109358"/>
        <n v="0.02985019607015671"/>
        <n v="0.03339448815298323"/>
        <n v="0.03328841418871172"/>
        <n v="0.02626160441265383"/>
        <n v="0.02114674202392059"/>
        <n v="0.02111673848976168"/>
        <n v="0.0202110601936353"/>
        <n v="0.01326855298785565"/>
        <n v="0.008924457627451497"/>
        <n v="0.01337196419192555"/>
        <n v="0.01199770270776443"/>
        <n v="0.01191414083589946"/>
        <n v="0.01154678603188561"/>
        <n v="0.007349316163282058"/>
        <n v="0.007334503329908627"/>
        <n v="0.00250610577860695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4.910202535179296E-5"/>
        <m/>
      </sharedItems>
    </cacheField>
    <cacheField name="range" numFmtId="0">
      <sharedItems containsString="0" containsBlank="1" containsNumber="1">
        <n v="4.258446642897"/>
        <n v="1.198398320185237"/>
        <n v="1.112643427765325"/>
        <n v="1.148286410309844"/>
        <n v="0.7913157438022852"/>
        <n v="2.989012301738996"/>
        <n v="1.962891332021975"/>
        <n v="1.275774743906399"/>
        <n v="1.155619037031342"/>
        <n v="1.742990604715423"/>
        <n v="2.526493499274539"/>
        <n v="1.226212464959137"/>
        <n v="0.0"/>
        <n v="0.9576387010865799"/>
        <n v="0.8763659406273857"/>
        <n v="0.5113197288510807"/>
        <n v="1.190328973466188"/>
        <n v="0.8154200049298923"/>
        <n v="1.037936265829335"/>
        <n v="0.5894006912154751"/>
        <n v="0.7396770228686634"/>
        <n v="0.6261932844079879"/>
        <n v="0.6312587028075604"/>
        <n v="0.4788359359968167"/>
        <n v="0.3620755554030743"/>
        <n v="0.7528977161417421"/>
        <n v="0.5666178484038259"/>
        <n v="0.2615966101256581"/>
        <n v="0.4041465179935212"/>
        <n v="0.5497790160954046"/>
        <n v="0.2259822673457149"/>
        <n v="0.08103524327301603"/>
        <n v="0.1646254406893993"/>
        <n v="0.2473520847971639"/>
        <n v="0.07124659560391589"/>
        <n v="0.1005401471089287"/>
        <n v="0.06262910760600994"/>
        <n v="0.0201827302845827"/>
        <n v="0.02904962853214347"/>
        <n v="0.0627004173964666"/>
        <n v="0.03999951008955101"/>
        <n v="0.003774791725241894"/>
        <n v="0.02257145174672738"/>
        <n v="0.02563889031451461"/>
        <n v="0.0240442334700062"/>
        <n v="0.01254667970141347"/>
        <n v="0.004455144695217544"/>
        <n v="0.002494561589659225"/>
        <n v="9.00217108874573E-6"/>
        <m/>
      </sharedItems>
    </cacheField>
    <cacheField name="sum" numFmtId="0">
      <sharedItems containsString="0" containsBlank="1" containsNumber="1">
        <n v="23.55108515132271"/>
        <n v="6.151577881555284"/>
        <n v="5.910779765451823"/>
        <n v="4.263653801972643"/>
        <n v="4.024126474203794"/>
        <n v="3.880576238280826"/>
        <n v="3.671747886161236"/>
        <n v="3.342609643635754"/>
        <n v="3.287228206241925"/>
        <n v="2.81214474596646"/>
        <n v="2.685070989076956"/>
        <n v="2.331910640411788"/>
        <n v="2.267620439754054"/>
        <n v="2.059970019485094"/>
        <n v="1.972355496887904"/>
        <n v="1.802994479381405"/>
        <n v="1.560142378454648"/>
        <n v="1.481308821659656"/>
        <n v="1.456167332896569"/>
        <n v="1.33350797926092"/>
        <n v="1.249128021272323"/>
        <n v="1.134018971698907"/>
        <n v="1.108132374680734"/>
        <n v="0.9934163187258365"/>
        <n v="0.9381795815590983"/>
        <n v="0.8955067080505048"/>
        <n v="0.7778925335109345"/>
        <n v="0.7533592247028413"/>
        <n v="0.7251586451614513"/>
        <n v="0.7022422506860121"/>
        <n v="0.6753314364034222"/>
        <n v="0.6592965882999953"/>
        <n v="0.6549791778694615"/>
        <n v="0.6179854725438082"/>
        <n v="0.4707250242848225"/>
        <n v="0.4602494991834873"/>
        <n v="0.4317576846471557"/>
        <n v="0.3848717724640777"/>
        <n v="0.3203649028027082"/>
        <n v="0.3100364938539648"/>
        <n v="0.2905454431030249"/>
        <n v="0.250874811185001"/>
        <n v="0.2456899406050291"/>
        <n v="0.2058743079622631"/>
        <n v="0.1756713741225908"/>
        <n v="0.1745226337319236"/>
        <n v="0.1503672531394772"/>
        <n v="0.1438095644671566"/>
        <n v="0.09228853169675792"/>
        <n v="0.09061789275063771"/>
        <n v="0.08632806149902313"/>
        <n v="0.07897435709260042"/>
        <n v="0.07698201219330912"/>
        <n v="0.06412745252580186"/>
        <n v="0.06092966462617676"/>
        <n v="0.05058469473819756"/>
        <n v="0.04880193794540164"/>
        <n v="0.04335660397716149"/>
        <n v="0.04229833016934684"/>
        <n v="0.03986130609109358"/>
        <n v="0.03406150182579881"/>
        <n v="0.03339448815298323"/>
        <n v="0.03328841418871172"/>
        <n v="0.02847897535530146"/>
        <n v="0.02114674202392059"/>
        <n v="0.02111673848976168"/>
        <n v="0.0202110601936353"/>
        <n v="0.01399042627429784"/>
        <n v="0.01339377055968545"/>
        <n v="0.01337196419192555"/>
        <n v="0.01199770270776443"/>
        <n v="0.01191414083589946"/>
        <n v="0.01154678603188561"/>
        <n v="0.007349316163282058"/>
        <n v="0.007334503329908627"/>
        <n v="0.00597455933361589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8.92018796148402E-5"/>
        <m/>
      </sharedItems>
    </cacheField>
    <cacheField name="mean" numFmtId="0">
      <sharedItems containsString="0" containsBlank="1" containsNumber="1">
        <n v="1.023960223970553"/>
        <n v="0.3618575224444284"/>
        <n v="0.2955389882725911"/>
        <n v="0.2508031648219202"/>
        <n v="0.574875210600542"/>
        <n v="1.940288119140413"/>
        <n v="0.7343495772322471"/>
        <n v="0.5571016072726257"/>
        <n v="0.4109035257802406"/>
        <n v="0.281214474596646"/>
        <n v="0.8950236630256522"/>
        <n v="0.582977660102947"/>
        <n v="2.267620439754054"/>
        <n v="0.2942814313550134"/>
        <n v="0.1408825354919932"/>
        <n v="0.4507486198453514"/>
        <n v="0.5200474594848826"/>
        <n v="0.4937696072198852"/>
        <n v="0.2912334665793138"/>
        <n v="0.22225132987682"/>
        <n v="1.249128021272323"/>
        <n v="0.2835047429247267"/>
        <n v="0.1583046249543906"/>
        <n v="0.1986832637451673"/>
        <n v="0.3127265271863661"/>
        <n v="0.1492511180084175"/>
        <n v="0.7778925335109345"/>
        <n v="0.3766796123514207"/>
        <n v="0.3625793225807257"/>
        <n v="0.1170403751143353"/>
        <n v="0.3376657182017111"/>
        <n v="0.6592965882999953"/>
        <n v="0.1091631963115769"/>
        <n v="0.1544963681359521"/>
        <n v="0.4707250242848225"/>
        <n v="0.4602494991834873"/>
        <n v="0.2158788423235778"/>
        <n v="0.1924358862320389"/>
        <n v="0.3203649028027082"/>
        <n v="0.06200729877079296"/>
        <n v="0.2905454431030249"/>
        <n v="0.1254374055925005"/>
        <n v="0.2456899406050291"/>
        <n v="0.2058743079622631"/>
        <n v="0.0878356870612954"/>
        <n v="0.08726131686596181"/>
        <n v="0.1503672531394772"/>
        <n v="0.0479365214890522"/>
        <n v="0.01845770633935159"/>
        <n v="0.09061789275063771"/>
        <n v="0.08632806149902313"/>
        <n v="0.07897435709260042"/>
        <n v="0.02566067073110304"/>
        <n v="0.02137581750860062"/>
        <n v="0.02030988820872559"/>
        <n v="0.05058469473819756"/>
        <n v="0.02440096897270082"/>
        <n v="0.04335660397716149"/>
        <n v="0.01409944338978228"/>
        <n v="0.03986130609109358"/>
        <n v="0.01703075091289941"/>
        <n v="0.03339448815298323"/>
        <n v="0.03328841418871172"/>
        <n v="0.01423948767765073"/>
        <n v="0.02114674202392059"/>
        <n v="0.02111673848976168"/>
        <n v="0.0202110601936353"/>
        <n v="0.006995213137148918"/>
        <n v="0.006696885279842725"/>
        <n v="0.01337196419192555"/>
        <n v="0.01199770270776443"/>
        <n v="0.01191414083589946"/>
        <n v="0.01154678603188561"/>
        <n v="0.007349316163282058"/>
        <n v="0.007334503329908627"/>
        <n v="0.001194911866723178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4.46009398074201E-5"/>
        <m/>
      </sharedItems>
    </cacheField>
    <cacheField name="median" numFmtId="0">
      <sharedItems containsString="0" containsBlank="1" containsNumber="1">
        <n v="0.498651835403951"/>
        <n v="0.1245376960229938"/>
        <n v="0.1584358200661802"/>
        <n v="0.1559878872168357"/>
        <n v="0.6534364088697245"/>
        <n v="1.940288119140413"/>
        <n v="0.3021007830395959"/>
        <n v="0.3947683609473585"/>
        <n v="0.2986808233978093"/>
        <n v="0.1220157774867207"/>
        <n v="0.1585584588243207"/>
        <n v="0.5528471835558677"/>
        <n v="2.267620439754054"/>
        <n v="0.03881990709794839"/>
        <n v="0.02151666865094695"/>
        <n v="0.3691040387717848"/>
        <n v="0.3602415365351896"/>
        <n v="0.312657042564681"/>
        <n v="0.03136838681311595"/>
        <n v="0.1705941743285327"/>
        <n v="1.249128021272323"/>
        <n v="0.1947566355057962"/>
        <n v="0.07597586444135833"/>
        <n v="0.1149766497932292"/>
        <n v="0.1640584577007073"/>
        <n v="0.1388915901858664"/>
        <n v="0.7778925335109345"/>
        <n v="0.3766796123514207"/>
        <n v="0.3625793225807257"/>
        <n v="0.03181352189455744"/>
        <n v="0.3376657182017111"/>
        <n v="0.6592965882999953"/>
        <n v="0.05130639160799891"/>
        <n v="0.03327964861525941"/>
        <n v="0.4707250242848225"/>
        <n v="0.4602494991834873"/>
        <n v="0.2158788423235778"/>
        <n v="0.1924358862320389"/>
        <n v="0.3203649028027082"/>
        <n v="0.03309948868503875"/>
        <n v="0.2905454431030249"/>
        <n v="0.1254374055925005"/>
        <n v="0.2456899406050291"/>
        <n v="0.2058743079622631"/>
        <n v="0.0878356870612954"/>
        <n v="0.08726131686596181"/>
        <n v="0.1503672531394772"/>
        <n v="0.02840111507571876"/>
        <n v="0.01342965089915906"/>
        <n v="0.09061789275063771"/>
        <n v="0.08632806149902313"/>
        <n v="0.07897435709260042"/>
        <n v="0.02234653185103114"/>
        <n v="9.287368968647414E-4"/>
        <n v="0.01961288392000997"/>
        <n v="0.05058469473819756"/>
        <n v="0.02440096897270082"/>
        <n v="0.04335660397716149"/>
        <n v="0.01923014773034531"/>
        <n v="0.03986130609109358"/>
        <n v="0.01703075091289941"/>
        <n v="0.03339448815298323"/>
        <n v="0.03328841418871172"/>
        <n v="0.01423948767765073"/>
        <n v="0.02114674202392059"/>
        <n v="0.02111673848976168"/>
        <n v="0.0202110601936353"/>
        <n v="0.006995213137148918"/>
        <n v="0.006696885279842725"/>
        <n v="0.01337196419192555"/>
        <n v="0.01199770270776443"/>
        <n v="0.01191414083589946"/>
        <n v="0.01154678603188561"/>
        <n v="0.007349316163282058"/>
        <n v="0.007334503329908627"/>
        <n v="0.001041205024743954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4.46009398074201E-5"/>
        <m/>
      </sharedItems>
    </cacheField>
    <cacheField name="stddev" numFmtId="0">
      <sharedItems containsString="0" containsBlank="1" containsNumber="1">
        <n v="1.115173158359756"/>
        <n v="0.3841438525580655"/>
        <n v="0.320247293414346"/>
        <n v="0.2909658645560228"/>
        <n v="0.2458281624272662"/>
        <n v="1.494506150869498"/>
        <n v="0.7795044083393263"/>
        <n v="0.4467794964733247"/>
        <n v="0.3933000146815859"/>
        <n v="0.4994954839193931"/>
        <n v="1.155444531545791"/>
        <n v="0.5839053608179781"/>
        <n v="0.0"/>
        <n v="0.388561213746534"/>
        <n v="0.2494900813222155"/>
        <n v="0.2034301301849751"/>
        <n v="0.4989149667198606"/>
        <n v="0.3566779751325235"/>
        <n v="0.3963009843682887"/>
        <n v="0.198718647857523"/>
        <n v="0.276512959729197"/>
        <n v="0.2073800478942467"/>
        <n v="0.2374267220858206"/>
        <n v="0.2219573676241024"/>
        <n v="0.1214306137708558"/>
        <n v="0.376448858070871"/>
        <n v="0.2027225292128391"/>
        <n v="0.1307983050628291"/>
        <n v="0.1394562115552377"/>
        <n v="0.2296678221555329"/>
        <n v="0.1129911336728575"/>
        <n v="0.04051762163650802"/>
        <n v="0.06549050807375142"/>
        <n v="0.1236760423985819"/>
        <n v="0.03562329780195794"/>
        <n v="0.05027007355446434"/>
        <n v="0.02906114654404714"/>
        <n v="0.009210711937484455"/>
        <n v="0.01208877900785639"/>
        <n v="0.02939838901005634"/>
        <n v="0.0163371675040869"/>
        <n v="0.001887395862620947"/>
        <n v="0.009903221824618991"/>
        <n v="0.0128194451572573"/>
        <n v="0.0120221167350031"/>
        <n v="0.006273339850706732"/>
        <n v="0.002227572347608772"/>
        <n v="8.434345263835433E-4"/>
        <n v="4.501085544372865E-6"/>
        <m/>
      </sharedItems>
    </cacheField>
    <cacheField name="minority" numFmtId="0">
      <sharedItems containsString="0" containsBlank="1" containsNumber="1">
        <n v="0.0147529798074941"/>
        <n v="0.004909223128084067"/>
        <n v="2.434548197734906E-6"/>
        <n v="5.111993520802419E-4"/>
        <n v="0.04061071338964737"/>
        <n v="0.4457819682709146"/>
        <n v="0.003223714414871528"/>
        <n v="0.08063446969939635"/>
        <n v="0.01164983969972033"/>
        <n v="0.006272923866688501"/>
        <n v="9.5154890484163E-6"/>
        <n v="1.904170457612331E-6"/>
        <n v="2.267620439754054"/>
        <n v="0.01554680710223985"/>
        <n v="7.992261436019795E-5"/>
        <n v="0.2767333364933776"/>
        <n v="0.004785934226635306"/>
        <n v="0.1766158870825413"/>
        <n v="1.150691341757844E-4"/>
        <n v="0.01401746964297635"/>
        <n v="1.249128021272323"/>
        <n v="0.002414338909325496"/>
        <n v="0.01525183966621941"/>
        <n v="0.03728455544508626"/>
        <n v="0.1476425939307872"/>
        <n v="0.001426754437033829"/>
        <n v="0.7778925335109345"/>
        <n v="2.307542805495996E-4"/>
        <n v="0.3625793225807257"/>
        <n v="2.677300014269912E-4"/>
        <n v="0.2068674131388821"/>
        <n v="0.6592965882999953"/>
        <n v="0.01387012052417415"/>
        <n v="8.235796089424229E-4"/>
        <n v="0.4707250242848225"/>
        <n v="0.4602494991834873"/>
        <n v="0.1028877086507204"/>
        <n v="0.1519182645955308"/>
        <n v="0.3203649028027082"/>
        <n v="4.874179364604496E-5"/>
        <n v="0.2905454431030249"/>
        <n v="0.001761363193918567"/>
        <n v="0.2456899406050291"/>
        <n v="0.2058743079622631"/>
        <n v="0.05221238925933745"/>
        <n v="0.03699124331149746"/>
        <n v="0.1503672531394772"/>
        <n v="0.02638967089271395"/>
        <n v="0.00943529048617724"/>
        <n v="0.09061789275063771"/>
        <n v="0.08632806149902313"/>
        <n v="0.07897435709260042"/>
        <n v="0.01279292590506725"/>
        <n v="2.491491162352582E-4"/>
        <n v="6.586353083078821E-4"/>
        <n v="0.05058469473819756"/>
        <n v="0.02251357311007987"/>
        <n v="0.04335660397716149"/>
        <n v="2.483653461370751E-4"/>
        <n v="0.03986130609109358"/>
        <n v="0.004211305755642101"/>
        <n v="0.03339448815298323"/>
        <n v="0.03328841418871172"/>
        <n v="0.002217370942647631"/>
        <n v="0.02114674202392059"/>
        <n v="0.02111673848976168"/>
        <n v="0.0202110601936353"/>
        <n v="7.218732864421861E-4"/>
        <n v="0.004469312932233954"/>
        <n v="0.01337196419192555"/>
        <n v="0.01199770270776443"/>
        <n v="0.01191414083589946"/>
        <n v="0.01154678603188561"/>
        <n v="0.007349316163282058"/>
        <n v="0.007334503329908627"/>
        <n v="1.154418894772536E-5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4.009985426304723E-5"/>
        <m/>
      </sharedItems>
    </cacheField>
    <cacheField name="majority" numFmtId="0">
      <sharedItems containsString="0" containsBlank="1" containsNumber="1">
        <n v="0.0147529798074941"/>
        <n v="0.004909223128084067"/>
        <n v="2.434548197734906E-6"/>
        <n v="5.111993520802419E-4"/>
        <n v="0.04061071338964737"/>
        <n v="0.4457819682709146"/>
        <n v="0.003223714414871528"/>
        <n v="0.08063446969939635"/>
        <n v="0.01164983969972033"/>
        <n v="0.1245073607957327"/>
        <n v="9.5154890484163E-6"/>
        <n v="1.904170457612331E-6"/>
        <n v="2.267620439754054"/>
        <n v="0.03881990709794839"/>
        <n v="7.992261436019795E-5"/>
        <n v="0.2767333364933776"/>
        <n v="0.004785934226635306"/>
        <n v="0.1766158870825413"/>
        <n v="1.150691341757844E-4"/>
        <n v="0.01401746964297635"/>
        <n v="1.249128021272323"/>
        <n v="0.002414338909325496"/>
        <n v="0.1709487795146888"/>
        <n v="0.03728455544508626"/>
        <n v="0.1476425939307872"/>
        <n v="0.001426754437033829"/>
        <n v="0.7778925335109345"/>
        <n v="2.307542805495996E-4"/>
        <n v="0.3625793225807257"/>
        <n v="2.677300014269912E-4"/>
        <n v="0.2068674131388821"/>
        <n v="0.6592965882999953"/>
        <n v="0.01387012052417415"/>
        <n v="8.235796089424229E-4"/>
        <n v="0.4707250242848225"/>
        <n v="0.4602494991834873"/>
        <n v="0.1028877086507204"/>
        <n v="0.1519182645955308"/>
        <n v="0.3203649028027082"/>
        <n v="4.874179364604496E-5"/>
        <n v="0.2905454431030249"/>
        <n v="0.001761363193918567"/>
        <n v="0.2456899406050291"/>
        <n v="0.2058743079622631"/>
        <n v="0.05221238925933745"/>
        <n v="0.03699124331149746"/>
        <n v="0.1503672531394772"/>
        <n v="0.02638967089271395"/>
        <n v="0.02961802077075994"/>
        <n v="0.09061789275063771"/>
        <n v="0.08632806149902313"/>
        <n v="0.07897435709260042"/>
        <n v="0.01279292590506725"/>
        <n v="2.491491162352582E-4"/>
        <n v="6.586353083078821E-4"/>
        <n v="0.05058469473819756"/>
        <n v="0.02251357311007987"/>
        <n v="0.04335660397716149"/>
        <n v="2.483653461370751E-4"/>
        <n v="0.03986130609109358"/>
        <n v="0.004211305755642101"/>
        <n v="0.03339448815298323"/>
        <n v="0.03328841418871172"/>
        <n v="0.002217370942647631"/>
        <n v="0.02114674202392059"/>
        <n v="0.02111673848976168"/>
        <n v="0.0202110601936353"/>
        <n v="7.218732864421861E-4"/>
        <n v="0.004469312932233954"/>
        <n v="0.01337196419192555"/>
        <n v="0.01199770270776443"/>
        <n v="0.01191414083589946"/>
        <n v="0.01154678603188561"/>
        <n v="0.007349316163282058"/>
        <n v="0.007334503329908627"/>
        <n v="1.154418894772536E-5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4.009985426304723E-5"/>
        <m/>
      </sharedItems>
    </cacheField>
    <cacheField name="q1" numFmtId="0">
      <sharedItems containsString="0" containsBlank="1" containsNumber="1">
        <n v="0.271328677257766"/>
        <n v="0.05446611069813302"/>
        <n v="0.0466227437200331"/>
        <n v="0.05466484660634436"/>
        <n v="0.5124030623574911"/>
        <n v="0.4457819682709146"/>
        <n v="0.06881957560751019"/>
        <n v="0.1845907934845835"/>
        <n v="0.05691605502862265"/>
        <n v="0.03953462491836912"/>
        <n v="0.07928398715668457"/>
        <n v="6.63779229781915E-4"/>
        <n v="2.267620439754054"/>
        <n v="0.02968900489600284"/>
        <n v="3.393558894572275E-4"/>
        <n v="0.2910047634821816"/>
        <n v="0.1825137353809125"/>
        <n v="0.2446364648236111"/>
        <n v="0.02586465541017688"/>
        <n v="0.06861442500969177"/>
        <n v="1.249128021272323"/>
        <n v="0.0887638769073774"/>
        <n v="0.01678099373478568"/>
        <n v="0.04905572122233124"/>
        <n v="0.1558505258157473"/>
        <n v="0.04379731987958616"/>
        <n v="0.7778925335109345"/>
        <n v="2.307542805495996E-4"/>
        <n v="0.3625793225807257"/>
        <n v="6.401860015482177E-4"/>
        <n v="0.2068674131388821"/>
        <n v="0.6592965882999953"/>
        <n v="0.04185028353778952"/>
        <n v="0.005396258584419358"/>
        <n v="0.4707250242848225"/>
        <n v="0.4602494991834873"/>
        <n v="0.1028877086507204"/>
        <n v="0.1519182645955308"/>
        <n v="0.3203649028027082"/>
        <n v="6.075185366218123E-4"/>
        <n v="0.2905454431030249"/>
        <n v="0.001761363193918567"/>
        <n v="0.2456899406050291"/>
        <n v="0.2058743079622631"/>
        <n v="0.05221238925933745"/>
        <n v="0.03699124331149746"/>
        <n v="0.1503672531394772"/>
        <n v="0.02739539298421636"/>
        <n v="0.01018754876990175"/>
        <n v="0.09061789275063771"/>
        <n v="0.08632806149902313"/>
        <n v="0.07897435709260042"/>
        <n v="0.0175697288780492"/>
        <n v="5.889430065499998E-4"/>
        <n v="0.01013575961415893"/>
        <n v="0.05058469473819756"/>
        <n v="0.02251357311007987"/>
        <n v="0.04335660397716149"/>
        <n v="0.009739256538241191"/>
        <n v="0.03986130609109358"/>
        <n v="0.004211305755642101"/>
        <n v="0.03339448815298323"/>
        <n v="0.03328841418871172"/>
        <n v="0.002217370942647631"/>
        <n v="0.02114674202392059"/>
        <n v="0.02111673848976168"/>
        <n v="0.0202110601936353"/>
        <n v="7.218732864421861E-4"/>
        <n v="0.004469312932233954"/>
        <n v="0.01337196419192555"/>
        <n v="0.01199770270776443"/>
        <n v="0.01191414083589946"/>
        <n v="0.01154678603188561"/>
        <n v="0.007349316163282058"/>
        <n v="0.007334503329908627"/>
        <n v="7.532315761452973E-4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4.009985426304723E-5"/>
        <m/>
      </sharedItems>
    </cacheField>
    <cacheField name="q3" numFmtId="0">
      <sharedItems containsString="0" containsBlank="1" containsNumber="1">
        <n v="1.22779807987711"/>
        <n v="0.6874660883801502"/>
        <n v="0.5433583808788646"/>
        <n v="0.3434878138155308"/>
        <n v="0.7366733850187539"/>
        <n v="3.434794270009911"/>
        <n v="1.331488766662412"/>
        <n v="0.9314384449512623"/>
        <n v="0.6985578664791398"/>
        <n v="0.2338461749632083"/>
        <n v="1.342530736793954"/>
        <n v="1.165291540976112"/>
        <n v="2.267620439754054"/>
        <n v="0.4865198936520403"/>
        <n v="0.1197407968406004"/>
        <n v="0.6104924762085211"/>
        <n v="0.7776782221140063"/>
        <n v="0.6523464672885573"/>
        <n v="0.3607678865755892"/>
        <n v="0.3062695750927348"/>
        <n v="1.249128021272323"/>
        <n v="0.478245608942076"/>
        <n v="0.1709487795146888"/>
        <n v="0.1235561340125432"/>
        <n v="0.3952684938141556"/>
        <n v="0.2089971435220437"/>
        <n v="0.7778925335109345"/>
        <n v="0.7531284704222917"/>
        <n v="0.3625793225807257"/>
        <n v="0.07082171248866913"/>
        <n v="0.4684640232645402"/>
        <n v="0.6592965882999953"/>
        <n v="0.07862935207380464"/>
        <n v="0.3035964776874848"/>
        <n v="0.4707250242848225"/>
        <n v="0.4602494991834873"/>
        <n v="0.3288699759964353"/>
        <n v="0.2329535078685469"/>
        <n v="0.3203649028027082"/>
        <n v="0.1116065623556129"/>
        <n v="0.2905454431030249"/>
        <n v="0.2491134479910824"/>
        <n v="0.2456899406050291"/>
        <n v="0.2058743079622631"/>
        <n v="0.1234589848632533"/>
        <n v="0.1375313904204261"/>
        <n v="0.1503672531394772"/>
        <n v="0.05870994678722132"/>
        <n v="0.02961802077075994"/>
        <n v="0.09061789275063771"/>
        <n v="0.08632806149902313"/>
        <n v="0.07897435709260042"/>
        <n v="0.03209454314412093"/>
        <n v="0.0319391517047833"/>
        <n v="0.03013551465893444"/>
        <n v="0.05058469473819756"/>
        <n v="0.02628836483532177"/>
        <n v="0.04335660397716149"/>
        <n v="0.02102498241160488"/>
        <n v="0.03986130609109358"/>
        <n v="0.02985019607015671"/>
        <n v="0.03339448815298323"/>
        <n v="0.03328841418871172"/>
        <n v="0.02626160441265383"/>
        <n v="0.02114674202392059"/>
        <n v="0.02111673848976168"/>
        <n v="0.0202110601936353"/>
        <n v="0.01326855298785565"/>
        <n v="0.008924457627451497"/>
        <n v="0.01337196419192555"/>
        <n v="0.01199770270776443"/>
        <n v="0.01191414083589946"/>
        <n v="0.01154678603188561"/>
        <n v="0.007349316163282058"/>
        <n v="0.007334503329908627"/>
        <n v="0.001662472765171963"/>
        <n v="0.005863182723431962"/>
        <n v="0.005488085166195833"/>
        <n v="0.003342814146976494"/>
        <n v="0.002581738659520386"/>
        <n v="0.001986008399427226"/>
        <n v="0.001216055270461015"/>
        <n v="3.192810097053491E-4"/>
        <n v="3.184499353640105E-4"/>
        <n v="4.910202535179296E-5"/>
        <m/>
      </sharedItems>
    </cacheField>
    <cacheField name="iqr" numFmtId="0">
      <sharedItems containsString="0" containsBlank="1" containsNumber="1">
        <n v="0.9564694026193442"/>
        <n v="0.6329999776820172"/>
        <n v="0.4967356371588315"/>
        <n v="0.2888229672091864"/>
        <n v="0.2242703226612628"/>
        <n v="2.989012301738996"/>
        <n v="1.262669191054902"/>
        <n v="0.7468476514666788"/>
        <n v="0.6416418114505171"/>
        <n v="0.1943115500448392"/>
        <n v="1.263246749637269"/>
        <n v="1.16462776174633"/>
        <n v="0.0"/>
        <n v="0.4568308887560374"/>
        <n v="0.1194014409511432"/>
        <n v="0.3194877127263395"/>
        <n v="0.5951644867330939"/>
        <n v="0.4077100024649462"/>
        <n v="0.3349032311654123"/>
        <n v="0.237655150083043"/>
        <n v="0.3894817320346986"/>
        <n v="0.1541677857799031"/>
        <n v="0.07450041279021194"/>
        <n v="0.2394179679984083"/>
        <n v="0.1651998236424576"/>
        <n v="0.7528977161417421"/>
        <n v="0.07018152648712091"/>
        <n v="0.2615966101256581"/>
        <n v="0.03677906853601513"/>
        <n v="0.2982002191030654"/>
        <n v="0.2259822673457149"/>
        <n v="0.08103524327301603"/>
        <n v="0.1109990438189911"/>
        <n v="0.2473520847971639"/>
        <n v="0.07124659560391589"/>
        <n v="0.1005401471089287"/>
        <n v="0.03131455380300496"/>
        <n v="0.01943047200085819"/>
        <n v="0.01452481426607173"/>
        <n v="0.0313502086982333"/>
        <n v="0.01999975504477551"/>
        <n v="0.003774791725241894"/>
        <n v="0.01128572587336369"/>
        <n v="0.02563889031451461"/>
        <n v="0.0240442334700062"/>
        <n v="0.01254667970141347"/>
        <n v="0.004455144695217544"/>
        <n v="9.092411890266659E-4"/>
        <n v="9.00217108874573E-6"/>
        <m/>
      </sharedItems>
    </cacheField>
    <cacheField name="Column 19" numFmtId="0">
      <sharedItems containsString="0" containsBlank="1">
        <m/>
      </sharedItems>
    </cacheField>
    <cacheField name="Column 20" numFmtId="0">
      <sharedItems containsString="0" containsBlank="1">
        <m/>
      </sharedItems>
    </cacheField>
    <cacheField name="Column 21" numFmtId="0">
      <sharedItems containsString="0" containsBlank="1">
        <m/>
      </sharedItems>
    </cacheField>
    <cacheField name="Column 22" numFmtId="0">
      <sharedItems containsString="0" containsBlank="1">
        <m/>
      </sharedItems>
    </cacheField>
    <cacheField name="Column 23" numFmtId="0">
      <sharedItems containsString="0" containsBlank="1">
        <m/>
      </sharedItems>
    </cacheField>
    <cacheField name="Column 24" numFmtId="0">
      <sharedItems containsString="0" containsBlank="1">
        <m/>
      </sharedItems>
    </cacheField>
    <cacheField name="Column 25" numFmtId="0">
      <sharedItems containsString="0" containsBlank="1">
        <m/>
      </sharedItems>
    </cacheField>
    <cacheField name="Column 2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rowGrandTotals="0" colGrandTotals="0" compact="0" compactData="0">
  <location ref="A1:AJ10" firstHeaderRow="0" firstDataRow="2" firstDataCol="1"/>
  <pivotFields>
    <pivotField name="f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PROJECT_TYPE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JECT_TYPE_LABEL" axis="axisRow" compact="0" outline="0" multipleItemSelectionAllowed="1" showAll="0" sortType="ascending">
      <items>
        <item x="7"/>
        <item x="6"/>
        <item x="4"/>
        <item x="5"/>
        <item x="3"/>
        <item x="0"/>
        <item x="1"/>
        <item x="2"/>
        <item t="default"/>
      </items>
    </pivotField>
    <pivotField name="DESCRIPTIO_LABEL" axis="axisCol" compact="0" outline="0" multipleItemSelectionAllowed="1" showAll="0" sortType="ascending">
      <items>
        <item x="33"/>
        <item x="7"/>
        <item x="30"/>
        <item x="19"/>
        <item x="11"/>
        <item x="5"/>
        <item x="0"/>
        <item x="20"/>
        <item x="22"/>
        <item x="4"/>
        <item x="2"/>
        <item x="6"/>
        <item x="8"/>
        <item x="23"/>
        <item x="1"/>
        <item x="3"/>
        <item x="10"/>
        <item x="14"/>
        <item x="21"/>
        <item x="28"/>
        <item x="15"/>
        <item x="18"/>
        <item x="9"/>
        <item x="29"/>
        <item x="24"/>
        <item x="27"/>
        <item x="26"/>
        <item x="17"/>
        <item x="32"/>
        <item x="31"/>
        <item x="12"/>
        <item x="25"/>
        <item x="13"/>
        <item x="16"/>
        <item t="default"/>
      </items>
    </pivotField>
    <pivotField name="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u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ed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stdde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mino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ajo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q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q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iq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4" compact="0" outline="0" multipleItemSelectionAllowed="1" showAll="0">
      <items>
        <item x="0"/>
        <item t="default"/>
      </items>
    </pivotField>
    <pivotField name="Column 25" compact="0" outline="0" multipleItemSelectionAllowed="1" showAll="0">
      <items>
        <item x="0"/>
        <item t="default"/>
      </items>
    </pivotField>
    <pivotField name="Column 26" compact="0" outline="0" multipleItemSelectionAllowed="1" showAll="0">
      <items>
        <item x="0"/>
        <item t="default"/>
      </items>
    </pivotField>
  </pivotFields>
  <rowFields>
    <field x="1"/>
    <field x="2"/>
  </rowFields>
  <colFields>
    <field x="3"/>
  </colFields>
  <dataFields>
    <dataField name="SUM of sum" fld="9" baseField="0"/>
  </dataFields>
</pivotTableDefinition>
</file>

<file path=xl/tables/table1.xml><?xml version="1.0" encoding="utf-8"?>
<table xmlns="http://schemas.openxmlformats.org/spreadsheetml/2006/main" ref="A1:Z86" displayName="Project_Statistics" name="Project_Statistics" id="1">
  <autoFilter ref="$A$1:$Z$86"/>
  <tableColumns count="26">
    <tableColumn name="fid" id="1"/>
    <tableColumn name="PROJECT_TYPE" id="2"/>
    <tableColumn name="PROJECT_TYPE_LABEL" id="3"/>
    <tableColumn name="DESCRIPTIO_LABEL" id="4"/>
    <tableColumn name="count" id="5"/>
    <tableColumn name="unique" id="6"/>
    <tableColumn name="min" id="7"/>
    <tableColumn name="max" id="8"/>
    <tableColumn name="range" id="9"/>
    <tableColumn name="sum" id="10"/>
    <tableColumn name="mean" id="11"/>
    <tableColumn name="median" id="12"/>
    <tableColumn name="stddev" id="13"/>
    <tableColumn name="minority" id="14"/>
    <tableColumn name="majority" id="15"/>
    <tableColumn name="q1" id="16"/>
    <tableColumn name="q3" id="17"/>
    <tableColumn name="iqr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  <tableColumn name="Column 26" id="26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8.75"/>
    <col customWidth="1" min="3" max="3" width="22.88"/>
    <col customWidth="1" min="4" max="4" width="37.63"/>
    <col customWidth="1" min="6" max="6" width="13.5"/>
    <col customWidth="1" min="7" max="7" width="16.13"/>
    <col customWidth="1" min="8" max="8" width="14.5"/>
    <col customWidth="1" min="9" max="9" width="12.75"/>
    <col customWidth="1" min="10" max="12" width="14.5"/>
    <col customWidth="1" min="13" max="13" width="13.25"/>
    <col customWidth="1" min="14" max="15" width="16.13"/>
    <col customWidth="1" min="16" max="17" width="14.5"/>
    <col customWidth="1" min="18" max="18" width="12.75"/>
  </cols>
  <sheetData>
    <row r="1" ht="22.5" customHeight="1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13</v>
      </c>
      <c r="I1" s="2" t="s">
        <v>21</v>
      </c>
      <c r="J1" s="2" t="s">
        <v>28</v>
      </c>
      <c r="K1" s="2" t="s">
        <v>35</v>
      </c>
      <c r="L1" s="2" t="s">
        <v>43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5" t="s">
        <v>55</v>
      </c>
      <c r="T1" s="5" t="s">
        <v>58</v>
      </c>
      <c r="U1" s="5" t="s">
        <v>59</v>
      </c>
      <c r="V1" s="5" t="s">
        <v>62</v>
      </c>
      <c r="W1" s="5" t="s">
        <v>63</v>
      </c>
      <c r="X1" s="5" t="s">
        <v>64</v>
      </c>
      <c r="Y1" s="5" t="s">
        <v>65</v>
      </c>
      <c r="Z1" s="5" t="s">
        <v>68</v>
      </c>
    </row>
    <row r="2" ht="22.5" customHeight="1">
      <c r="A2" s="6">
        <v>2.0</v>
      </c>
      <c r="B2" s="7" t="s">
        <v>56</v>
      </c>
      <c r="C2" s="8" t="s">
        <v>57</v>
      </c>
      <c r="D2" s="9" t="s">
        <v>15</v>
      </c>
      <c r="E2" s="6">
        <v>23.0</v>
      </c>
      <c r="F2" s="6">
        <v>23.0</v>
      </c>
      <c r="G2" s="6">
        <v>0.0147529798074941</v>
      </c>
      <c r="H2" s="6">
        <v>4.273199622704494</v>
      </c>
      <c r="I2" s="6">
        <v>4.258446642897</v>
      </c>
      <c r="J2" s="6">
        <v>23.55108515132271</v>
      </c>
      <c r="K2" s="6">
        <v>1.023960223970553</v>
      </c>
      <c r="L2" s="6">
        <v>0.498651835403951</v>
      </c>
      <c r="M2" s="6">
        <v>1.115173158359756</v>
      </c>
      <c r="N2" s="6">
        <v>0.0147529798074941</v>
      </c>
      <c r="O2" s="6">
        <v>0.0147529798074941</v>
      </c>
      <c r="P2" s="6">
        <v>0.271328677257766</v>
      </c>
      <c r="Q2" s="6">
        <v>1.22779807987711</v>
      </c>
      <c r="R2" s="6">
        <v>0.9564694026193442</v>
      </c>
      <c r="S2" s="10"/>
      <c r="T2" s="10"/>
      <c r="U2" s="10"/>
      <c r="V2" s="10"/>
      <c r="W2" s="10"/>
      <c r="X2" s="10"/>
      <c r="Y2" s="10"/>
      <c r="Z2" s="10"/>
    </row>
    <row r="3" ht="22.5" customHeight="1">
      <c r="A3" s="6">
        <v>16.0</v>
      </c>
      <c r="B3" s="7" t="s">
        <v>47</v>
      </c>
      <c r="C3" s="9" t="s">
        <v>48</v>
      </c>
      <c r="D3" s="9" t="s">
        <v>24</v>
      </c>
      <c r="E3" s="6">
        <v>17.0</v>
      </c>
      <c r="F3" s="6">
        <v>17.0</v>
      </c>
      <c r="G3" s="6">
        <v>0.004909223128084067</v>
      </c>
      <c r="H3" s="6">
        <v>1.203307543313321</v>
      </c>
      <c r="I3" s="6">
        <v>1.198398320185237</v>
      </c>
      <c r="J3" s="6">
        <v>6.151577881555284</v>
      </c>
      <c r="K3" s="6">
        <v>0.3618575224444284</v>
      </c>
      <c r="L3" s="6">
        <v>0.1245376960229938</v>
      </c>
      <c r="M3" s="6">
        <v>0.3841438525580655</v>
      </c>
      <c r="N3" s="6">
        <v>0.004909223128084067</v>
      </c>
      <c r="O3" s="6">
        <v>0.004909223128084067</v>
      </c>
      <c r="P3" s="6">
        <v>0.05446611069813302</v>
      </c>
      <c r="Q3" s="6">
        <v>0.6874660883801502</v>
      </c>
      <c r="R3" s="6">
        <v>0.6329999776820172</v>
      </c>
      <c r="S3" s="10"/>
      <c r="T3" s="10"/>
      <c r="U3" s="10"/>
      <c r="V3" s="10"/>
      <c r="W3" s="10"/>
      <c r="X3" s="10"/>
      <c r="Y3" s="10"/>
      <c r="Z3" s="10"/>
    </row>
    <row r="4" ht="22.5" customHeight="1">
      <c r="A4" s="6">
        <v>8.0</v>
      </c>
      <c r="B4" s="7" t="s">
        <v>47</v>
      </c>
      <c r="C4" s="9" t="s">
        <v>48</v>
      </c>
      <c r="D4" s="9" t="s">
        <v>19</v>
      </c>
      <c r="E4" s="6">
        <v>20.0</v>
      </c>
      <c r="F4" s="6">
        <v>20.0</v>
      </c>
      <c r="G4" s="6">
        <v>2.434548197734906E-6</v>
      </c>
      <c r="H4" s="6">
        <v>1.112645862313523</v>
      </c>
      <c r="I4" s="6">
        <v>1.112643427765325</v>
      </c>
      <c r="J4" s="6">
        <v>5.910779765451823</v>
      </c>
      <c r="K4" s="6">
        <v>0.2955389882725911</v>
      </c>
      <c r="L4" s="6">
        <v>0.1584358200661802</v>
      </c>
      <c r="M4" s="6">
        <v>0.320247293414346</v>
      </c>
      <c r="N4" s="6">
        <v>2.434548197734906E-6</v>
      </c>
      <c r="O4" s="6">
        <v>2.434548197734906E-6</v>
      </c>
      <c r="P4" s="6">
        <v>0.0466227437200331</v>
      </c>
      <c r="Q4" s="6">
        <v>0.5433583808788646</v>
      </c>
      <c r="R4" s="6">
        <v>0.4967356371588315</v>
      </c>
      <c r="S4" s="10"/>
      <c r="T4" s="10"/>
      <c r="U4" s="10"/>
      <c r="V4" s="10"/>
      <c r="W4" s="10"/>
      <c r="X4" s="10"/>
      <c r="Y4" s="10"/>
      <c r="Z4" s="10"/>
    </row>
    <row r="5" ht="22.5" customHeight="1">
      <c r="A5" s="6">
        <v>17.0</v>
      </c>
      <c r="B5" s="7" t="s">
        <v>47</v>
      </c>
      <c r="C5" s="9" t="s">
        <v>48</v>
      </c>
      <c r="D5" s="9" t="s">
        <v>25</v>
      </c>
      <c r="E5" s="6">
        <v>17.0</v>
      </c>
      <c r="F5" s="6">
        <v>17.0</v>
      </c>
      <c r="G5" s="6">
        <v>5.111993520802419E-4</v>
      </c>
      <c r="H5" s="6">
        <v>1.148797609661924</v>
      </c>
      <c r="I5" s="6">
        <v>1.148286410309844</v>
      </c>
      <c r="J5" s="6">
        <v>4.263653801972643</v>
      </c>
      <c r="K5" s="6">
        <v>0.2508031648219202</v>
      </c>
      <c r="L5" s="6">
        <v>0.1559878872168357</v>
      </c>
      <c r="M5" s="6">
        <v>0.2909658645560228</v>
      </c>
      <c r="N5" s="6">
        <v>5.111993520802419E-4</v>
      </c>
      <c r="O5" s="6">
        <v>5.111993520802419E-4</v>
      </c>
      <c r="P5" s="6">
        <v>0.05466484660634436</v>
      </c>
      <c r="Q5" s="6">
        <v>0.3434878138155308</v>
      </c>
      <c r="R5" s="6">
        <v>0.2888229672091864</v>
      </c>
      <c r="S5" s="10"/>
      <c r="T5" s="10"/>
      <c r="U5" s="10"/>
      <c r="V5" s="10"/>
      <c r="W5" s="10"/>
      <c r="X5" s="10"/>
      <c r="Y5" s="10"/>
      <c r="Z5" s="10"/>
    </row>
    <row r="6" ht="22.5" customHeight="1">
      <c r="A6" s="6">
        <v>14.0</v>
      </c>
      <c r="B6" s="7" t="s">
        <v>47</v>
      </c>
      <c r="C6" s="9" t="s">
        <v>48</v>
      </c>
      <c r="D6" s="9" t="s">
        <v>18</v>
      </c>
      <c r="E6" s="6">
        <v>7.0</v>
      </c>
      <c r="F6" s="6">
        <v>7.0</v>
      </c>
      <c r="G6" s="6">
        <v>0.04061071338964737</v>
      </c>
      <c r="H6" s="6">
        <v>0.8319264571919326</v>
      </c>
      <c r="I6" s="6">
        <v>0.7913157438022852</v>
      </c>
      <c r="J6" s="6">
        <v>4.024126474203794</v>
      </c>
      <c r="K6" s="6">
        <v>0.574875210600542</v>
      </c>
      <c r="L6" s="6">
        <v>0.6534364088697245</v>
      </c>
      <c r="M6" s="6">
        <v>0.2458281624272662</v>
      </c>
      <c r="N6" s="6">
        <v>0.04061071338964737</v>
      </c>
      <c r="O6" s="6">
        <v>0.04061071338964737</v>
      </c>
      <c r="P6" s="6">
        <v>0.5124030623574911</v>
      </c>
      <c r="Q6" s="6">
        <v>0.7366733850187539</v>
      </c>
      <c r="R6" s="6">
        <v>0.2242703226612628</v>
      </c>
      <c r="S6" s="10"/>
      <c r="T6" s="10"/>
      <c r="U6" s="10"/>
      <c r="V6" s="10"/>
      <c r="W6" s="10"/>
      <c r="X6" s="10"/>
      <c r="Y6" s="10"/>
      <c r="Z6" s="10"/>
    </row>
    <row r="7" ht="22.5" customHeight="1">
      <c r="A7" s="6">
        <v>31.0</v>
      </c>
      <c r="B7" s="7" t="s">
        <v>60</v>
      </c>
      <c r="C7" s="9" t="s">
        <v>61</v>
      </c>
      <c r="D7" s="9" t="s">
        <v>15</v>
      </c>
      <c r="E7" s="6">
        <v>2.0</v>
      </c>
      <c r="F7" s="6">
        <v>2.0</v>
      </c>
      <c r="G7" s="6">
        <v>0.4457819682709146</v>
      </c>
      <c r="H7" s="6">
        <v>3.434794270009911</v>
      </c>
      <c r="I7" s="6">
        <v>2.989012301738996</v>
      </c>
      <c r="J7" s="6">
        <v>3.880576238280826</v>
      </c>
      <c r="K7" s="6">
        <v>1.940288119140413</v>
      </c>
      <c r="L7" s="6">
        <v>1.940288119140413</v>
      </c>
      <c r="M7" s="6">
        <v>1.494506150869498</v>
      </c>
      <c r="N7" s="6">
        <v>0.4457819682709146</v>
      </c>
      <c r="O7" s="6">
        <v>0.4457819682709146</v>
      </c>
      <c r="P7" s="6">
        <v>0.4457819682709146</v>
      </c>
      <c r="Q7" s="6">
        <v>3.434794270009911</v>
      </c>
      <c r="R7" s="6">
        <v>2.989012301738996</v>
      </c>
      <c r="S7" s="10"/>
      <c r="T7" s="10"/>
      <c r="U7" s="10"/>
      <c r="V7" s="10"/>
      <c r="W7" s="10"/>
      <c r="X7" s="10"/>
      <c r="Y7" s="10"/>
      <c r="Z7" s="10"/>
    </row>
    <row r="8" ht="22.5" customHeight="1">
      <c r="A8" s="6">
        <v>48.0</v>
      </c>
      <c r="B8" s="7" t="s">
        <v>56</v>
      </c>
      <c r="C8" s="8" t="s">
        <v>57</v>
      </c>
      <c r="D8" s="9" t="s">
        <v>14</v>
      </c>
      <c r="E8" s="6">
        <v>5.0</v>
      </c>
      <c r="F8" s="6">
        <v>5.0</v>
      </c>
      <c r="G8" s="6">
        <v>0.003223714414871528</v>
      </c>
      <c r="H8" s="6">
        <v>1.966115046436846</v>
      </c>
      <c r="I8" s="6">
        <v>1.962891332021975</v>
      </c>
      <c r="J8" s="6">
        <v>3.671747886161236</v>
      </c>
      <c r="K8" s="6">
        <v>0.7343495772322471</v>
      </c>
      <c r="L8" s="6">
        <v>0.3021007830395959</v>
      </c>
      <c r="M8" s="6">
        <v>0.7795044083393263</v>
      </c>
      <c r="N8" s="6">
        <v>0.003223714414871528</v>
      </c>
      <c r="O8" s="6">
        <v>0.003223714414871528</v>
      </c>
      <c r="P8" s="6">
        <v>0.06881957560751019</v>
      </c>
      <c r="Q8" s="6">
        <v>1.331488766662412</v>
      </c>
      <c r="R8" s="6">
        <v>1.262669191054902</v>
      </c>
      <c r="S8" s="10"/>
      <c r="T8" s="10"/>
      <c r="U8" s="10"/>
      <c r="V8" s="10"/>
      <c r="W8" s="10"/>
      <c r="X8" s="10"/>
      <c r="Y8" s="10"/>
      <c r="Z8" s="10"/>
    </row>
    <row r="9" ht="22.5" customHeight="1">
      <c r="A9" s="6">
        <v>11.0</v>
      </c>
      <c r="B9" s="7" t="s">
        <v>66</v>
      </c>
      <c r="C9" s="9" t="s">
        <v>67</v>
      </c>
      <c r="D9" s="9" t="s">
        <v>14</v>
      </c>
      <c r="E9" s="6">
        <v>6.0</v>
      </c>
      <c r="F9" s="6">
        <v>6.0</v>
      </c>
      <c r="G9" s="6">
        <v>0.08063446969939635</v>
      </c>
      <c r="H9" s="6">
        <v>1.356409213605795</v>
      </c>
      <c r="I9" s="6">
        <v>1.275774743906399</v>
      </c>
      <c r="J9" s="6">
        <v>3.342609643635754</v>
      </c>
      <c r="K9" s="6">
        <v>0.5571016072726257</v>
      </c>
      <c r="L9" s="6">
        <v>0.3947683609473585</v>
      </c>
      <c r="M9" s="6">
        <v>0.4467794964733247</v>
      </c>
      <c r="N9" s="6">
        <v>0.08063446969939635</v>
      </c>
      <c r="O9" s="6">
        <v>0.08063446969939635</v>
      </c>
      <c r="P9" s="6">
        <v>0.1845907934845835</v>
      </c>
      <c r="Q9" s="6">
        <v>0.9314384449512623</v>
      </c>
      <c r="R9" s="6">
        <v>0.7468476514666788</v>
      </c>
      <c r="S9" s="10"/>
      <c r="T9" s="10"/>
      <c r="U9" s="10"/>
      <c r="V9" s="10"/>
      <c r="W9" s="10"/>
      <c r="X9" s="10"/>
      <c r="Y9" s="10"/>
      <c r="Z9" s="10"/>
    </row>
    <row r="10" ht="22.5" customHeight="1">
      <c r="A10" s="6">
        <v>41.0</v>
      </c>
      <c r="B10" s="7" t="s">
        <v>47</v>
      </c>
      <c r="C10" s="9" t="s">
        <v>48</v>
      </c>
      <c r="D10" s="9" t="s">
        <v>20</v>
      </c>
      <c r="E10" s="6">
        <v>8.0</v>
      </c>
      <c r="F10" s="6">
        <v>8.0</v>
      </c>
      <c r="G10" s="6">
        <v>0.01164983969972033</v>
      </c>
      <c r="H10" s="6">
        <v>1.167268876731062</v>
      </c>
      <c r="I10" s="6">
        <v>1.155619037031342</v>
      </c>
      <c r="J10" s="6">
        <v>3.287228206241925</v>
      </c>
      <c r="K10" s="6">
        <v>0.4109035257802406</v>
      </c>
      <c r="L10" s="6">
        <v>0.2986808233978093</v>
      </c>
      <c r="M10" s="6">
        <v>0.3933000146815859</v>
      </c>
      <c r="N10" s="6">
        <v>0.01164983969972033</v>
      </c>
      <c r="O10" s="6">
        <v>0.01164983969972033</v>
      </c>
      <c r="P10" s="6">
        <v>0.05691605502862265</v>
      </c>
      <c r="Q10" s="6">
        <v>0.6985578664791398</v>
      </c>
      <c r="R10" s="6">
        <v>0.6416418114505171</v>
      </c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6">
        <v>19.0</v>
      </c>
      <c r="B11" s="7" t="s">
        <v>60</v>
      </c>
      <c r="C11" s="9" t="s">
        <v>61</v>
      </c>
      <c r="D11" s="9" t="s">
        <v>9</v>
      </c>
      <c r="E11" s="6">
        <v>10.0</v>
      </c>
      <c r="F11" s="6">
        <v>9.0</v>
      </c>
      <c r="G11" s="6">
        <v>0.006272923866688501</v>
      </c>
      <c r="H11" s="6">
        <v>1.749263528582111</v>
      </c>
      <c r="I11" s="6">
        <v>1.742990604715423</v>
      </c>
      <c r="J11" s="6">
        <v>2.81214474596646</v>
      </c>
      <c r="K11" s="6">
        <v>0.281214474596646</v>
      </c>
      <c r="L11" s="6">
        <v>0.1220157774867207</v>
      </c>
      <c r="M11" s="6">
        <v>0.4994954839193931</v>
      </c>
      <c r="N11" s="6">
        <v>0.006272923866688501</v>
      </c>
      <c r="O11" s="6">
        <v>0.1245073607957327</v>
      </c>
      <c r="P11" s="6">
        <v>0.03953462491836912</v>
      </c>
      <c r="Q11" s="6">
        <v>0.2338461749632083</v>
      </c>
      <c r="R11" s="6">
        <v>0.1943115500448392</v>
      </c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6">
        <v>60.0</v>
      </c>
      <c r="B12" s="7" t="s">
        <v>66</v>
      </c>
      <c r="C12" s="9" t="s">
        <v>67</v>
      </c>
      <c r="D12" s="9" t="s">
        <v>15</v>
      </c>
      <c r="E12" s="6">
        <v>3.0</v>
      </c>
      <c r="F12" s="6">
        <v>3.0</v>
      </c>
      <c r="G12" s="6">
        <v>9.5154890484163E-6</v>
      </c>
      <c r="H12" s="6">
        <v>2.526503014763588</v>
      </c>
      <c r="I12" s="6">
        <v>2.526493499274539</v>
      </c>
      <c r="J12" s="6">
        <v>2.685070989076956</v>
      </c>
      <c r="K12" s="6">
        <v>0.8950236630256522</v>
      </c>
      <c r="L12" s="6">
        <v>0.1585584588243207</v>
      </c>
      <c r="M12" s="6">
        <v>1.155444531545791</v>
      </c>
      <c r="N12" s="6">
        <v>9.5154890484163E-6</v>
      </c>
      <c r="O12" s="6">
        <v>9.5154890484163E-6</v>
      </c>
      <c r="P12" s="6">
        <v>0.07928398715668457</v>
      </c>
      <c r="Q12" s="6">
        <v>1.342530736793954</v>
      </c>
      <c r="R12" s="6">
        <v>1.263246749637269</v>
      </c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6">
        <v>15.0</v>
      </c>
      <c r="B13" s="7" t="s">
        <v>47</v>
      </c>
      <c r="C13" s="9" t="s">
        <v>48</v>
      </c>
      <c r="D13" s="9" t="s">
        <v>22</v>
      </c>
      <c r="E13" s="6">
        <v>4.0</v>
      </c>
      <c r="F13" s="6">
        <v>4.0</v>
      </c>
      <c r="G13" s="6">
        <v>1.904170457612331E-6</v>
      </c>
      <c r="H13" s="6">
        <v>1.226214369129595</v>
      </c>
      <c r="I13" s="6">
        <v>1.226212464959137</v>
      </c>
      <c r="J13" s="6">
        <v>2.331910640411788</v>
      </c>
      <c r="K13" s="6">
        <v>0.582977660102947</v>
      </c>
      <c r="L13" s="6">
        <v>0.5528471835558677</v>
      </c>
      <c r="M13" s="6">
        <v>0.5839053608179781</v>
      </c>
      <c r="N13" s="6">
        <v>1.904170457612331E-6</v>
      </c>
      <c r="O13" s="6">
        <v>1.904170457612331E-6</v>
      </c>
      <c r="P13" s="6">
        <v>6.63779229781915E-4</v>
      </c>
      <c r="Q13" s="6">
        <v>1.165291540976112</v>
      </c>
      <c r="R13" s="6">
        <v>1.16462776174633</v>
      </c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6">
        <v>80.0</v>
      </c>
      <c r="B14" s="7" t="s">
        <v>69</v>
      </c>
      <c r="C14" s="9" t="s">
        <v>70</v>
      </c>
      <c r="D14" s="9" t="s">
        <v>33</v>
      </c>
      <c r="E14" s="6">
        <v>1.0</v>
      </c>
      <c r="F14" s="6">
        <v>1.0</v>
      </c>
      <c r="G14" s="6">
        <v>2.267620439754054</v>
      </c>
      <c r="H14" s="6">
        <v>2.267620439754054</v>
      </c>
      <c r="I14" s="6">
        <v>0.0</v>
      </c>
      <c r="J14" s="6">
        <v>2.267620439754054</v>
      </c>
      <c r="K14" s="6">
        <v>2.267620439754054</v>
      </c>
      <c r="L14" s="6">
        <v>2.267620439754054</v>
      </c>
      <c r="M14" s="6">
        <v>0.0</v>
      </c>
      <c r="N14" s="6">
        <v>2.267620439754054</v>
      </c>
      <c r="O14" s="6">
        <v>2.267620439754054</v>
      </c>
      <c r="P14" s="6">
        <v>2.267620439754054</v>
      </c>
      <c r="Q14" s="6">
        <v>2.267620439754054</v>
      </c>
      <c r="R14" s="6">
        <v>0.0</v>
      </c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6">
        <v>20.0</v>
      </c>
      <c r="B15" s="7" t="s">
        <v>60</v>
      </c>
      <c r="C15" s="9" t="s">
        <v>61</v>
      </c>
      <c r="D15" s="9" t="s">
        <v>14</v>
      </c>
      <c r="E15" s="6">
        <v>7.0</v>
      </c>
      <c r="F15" s="6">
        <v>6.0</v>
      </c>
      <c r="G15" s="6">
        <v>0.01554680710223985</v>
      </c>
      <c r="H15" s="6">
        <v>0.9731855081888198</v>
      </c>
      <c r="I15" s="6">
        <v>0.9576387010865799</v>
      </c>
      <c r="J15" s="6">
        <v>2.059970019485094</v>
      </c>
      <c r="K15" s="6">
        <v>0.2942814313550134</v>
      </c>
      <c r="L15" s="6">
        <v>0.03881990709794839</v>
      </c>
      <c r="M15" s="6">
        <v>0.388561213746534</v>
      </c>
      <c r="N15" s="6">
        <v>0.01554680710223985</v>
      </c>
      <c r="O15" s="6">
        <v>0.03881990709794839</v>
      </c>
      <c r="P15" s="6">
        <v>0.02968900489600284</v>
      </c>
      <c r="Q15" s="6">
        <v>0.4865198936520403</v>
      </c>
      <c r="R15" s="6">
        <v>0.4568308887560374</v>
      </c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6">
        <v>13.0</v>
      </c>
      <c r="B16" s="7" t="s">
        <v>47</v>
      </c>
      <c r="C16" s="9" t="s">
        <v>48</v>
      </c>
      <c r="D16" s="9" t="s">
        <v>26</v>
      </c>
      <c r="E16" s="6">
        <v>14.0</v>
      </c>
      <c r="F16" s="6">
        <v>14.0</v>
      </c>
      <c r="G16" s="6">
        <v>7.992261436019795E-5</v>
      </c>
      <c r="H16" s="6">
        <v>0.8764458632417459</v>
      </c>
      <c r="I16" s="6">
        <v>0.8763659406273857</v>
      </c>
      <c r="J16" s="6">
        <v>1.972355496887904</v>
      </c>
      <c r="K16" s="6">
        <v>0.1408825354919932</v>
      </c>
      <c r="L16" s="6">
        <v>0.02151666865094695</v>
      </c>
      <c r="M16" s="6">
        <v>0.2494900813222155</v>
      </c>
      <c r="N16" s="6">
        <v>7.992261436019795E-5</v>
      </c>
      <c r="O16" s="6">
        <v>7.992261436019795E-5</v>
      </c>
      <c r="P16" s="6">
        <v>3.393558894572275E-4</v>
      </c>
      <c r="Q16" s="6">
        <v>0.1197407968406004</v>
      </c>
      <c r="R16" s="6">
        <v>0.1194014409511432</v>
      </c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6">
        <v>39.0</v>
      </c>
      <c r="B17" s="7" t="s">
        <v>66</v>
      </c>
      <c r="C17" s="9" t="s">
        <v>67</v>
      </c>
      <c r="D17" s="9" t="s">
        <v>12</v>
      </c>
      <c r="E17" s="6">
        <v>4.0</v>
      </c>
      <c r="F17" s="6">
        <v>4.0</v>
      </c>
      <c r="G17" s="6">
        <v>0.2767333364933776</v>
      </c>
      <c r="H17" s="6">
        <v>0.7880530653444583</v>
      </c>
      <c r="I17" s="6">
        <v>0.5113197288510807</v>
      </c>
      <c r="J17" s="6">
        <v>1.802994479381405</v>
      </c>
      <c r="K17" s="6">
        <v>0.4507486198453514</v>
      </c>
      <c r="L17" s="6">
        <v>0.3691040387717848</v>
      </c>
      <c r="M17" s="6">
        <v>0.2034301301849751</v>
      </c>
      <c r="N17" s="6">
        <v>0.2767333364933776</v>
      </c>
      <c r="O17" s="6">
        <v>0.2767333364933776</v>
      </c>
      <c r="P17" s="6">
        <v>0.2910047634821816</v>
      </c>
      <c r="Q17" s="6">
        <v>0.6104924762085211</v>
      </c>
      <c r="R17" s="6">
        <v>0.3194877127263395</v>
      </c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6">
        <v>43.0</v>
      </c>
      <c r="B18" s="7" t="s">
        <v>47</v>
      </c>
      <c r="C18" s="9" t="s">
        <v>48</v>
      </c>
      <c r="D18" s="9" t="s">
        <v>42</v>
      </c>
      <c r="E18" s="6">
        <v>3.0</v>
      </c>
      <c r="F18" s="6">
        <v>3.0</v>
      </c>
      <c r="G18" s="6">
        <v>0.004785934226635306</v>
      </c>
      <c r="H18" s="6">
        <v>1.195114907692823</v>
      </c>
      <c r="I18" s="6">
        <v>1.190328973466188</v>
      </c>
      <c r="J18" s="6">
        <v>1.560142378454648</v>
      </c>
      <c r="K18" s="6">
        <v>0.5200474594848826</v>
      </c>
      <c r="L18" s="6">
        <v>0.3602415365351896</v>
      </c>
      <c r="M18" s="6">
        <v>0.4989149667198606</v>
      </c>
      <c r="N18" s="6">
        <v>0.004785934226635306</v>
      </c>
      <c r="O18" s="6">
        <v>0.004785934226635306</v>
      </c>
      <c r="P18" s="6">
        <v>0.1825137353809125</v>
      </c>
      <c r="Q18" s="6">
        <v>0.7776782221140063</v>
      </c>
      <c r="R18" s="6">
        <v>0.5951644867330939</v>
      </c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6">
        <v>46.0</v>
      </c>
      <c r="B19" s="7" t="s">
        <v>66</v>
      </c>
      <c r="C19" s="9" t="s">
        <v>67</v>
      </c>
      <c r="D19" s="9" t="s">
        <v>18</v>
      </c>
      <c r="E19" s="6">
        <v>3.0</v>
      </c>
      <c r="F19" s="6">
        <v>3.0</v>
      </c>
      <c r="G19" s="6">
        <v>0.1766158870825413</v>
      </c>
      <c r="H19" s="6">
        <v>0.9920358920124336</v>
      </c>
      <c r="I19" s="6">
        <v>0.8154200049298923</v>
      </c>
      <c r="J19" s="6">
        <v>1.481308821659656</v>
      </c>
      <c r="K19" s="6">
        <v>0.4937696072198852</v>
      </c>
      <c r="L19" s="6">
        <v>0.312657042564681</v>
      </c>
      <c r="M19" s="6">
        <v>0.3566779751325235</v>
      </c>
      <c r="N19" s="6">
        <v>0.1766158870825413</v>
      </c>
      <c r="O19" s="6">
        <v>0.1766158870825413</v>
      </c>
      <c r="P19" s="6">
        <v>0.2446364648236111</v>
      </c>
      <c r="Q19" s="6">
        <v>0.6523464672885573</v>
      </c>
      <c r="R19" s="6">
        <v>0.4077100024649462</v>
      </c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6">
        <v>45.0</v>
      </c>
      <c r="B20" s="7" t="s">
        <v>47</v>
      </c>
      <c r="C20" s="9" t="s">
        <v>48</v>
      </c>
      <c r="D20" s="9" t="s">
        <v>45</v>
      </c>
      <c r="E20" s="6">
        <v>5.0</v>
      </c>
      <c r="F20" s="6">
        <v>5.0</v>
      </c>
      <c r="G20" s="6">
        <v>1.150691341757844E-4</v>
      </c>
      <c r="H20" s="6">
        <v>1.038051334963511</v>
      </c>
      <c r="I20" s="6">
        <v>1.037936265829335</v>
      </c>
      <c r="J20" s="6">
        <v>1.456167332896569</v>
      </c>
      <c r="K20" s="6">
        <v>0.2912334665793138</v>
      </c>
      <c r="L20" s="6">
        <v>0.03136838681311595</v>
      </c>
      <c r="M20" s="6">
        <v>0.3963009843682887</v>
      </c>
      <c r="N20" s="6">
        <v>1.150691341757844E-4</v>
      </c>
      <c r="O20" s="6">
        <v>1.150691341757844E-4</v>
      </c>
      <c r="P20" s="6">
        <v>0.02586465541017688</v>
      </c>
      <c r="Q20" s="6">
        <v>0.3607678865755892</v>
      </c>
      <c r="R20" s="6">
        <v>0.3349032311654123</v>
      </c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6">
        <v>5.0</v>
      </c>
      <c r="B21" s="7" t="s">
        <v>60</v>
      </c>
      <c r="C21" s="9" t="s">
        <v>61</v>
      </c>
      <c r="D21" s="9" t="s">
        <v>19</v>
      </c>
      <c r="E21" s="6">
        <v>6.0</v>
      </c>
      <c r="F21" s="6">
        <v>6.0</v>
      </c>
      <c r="G21" s="6">
        <v>0.01401746964297635</v>
      </c>
      <c r="H21" s="6">
        <v>0.6034181608584515</v>
      </c>
      <c r="I21" s="6">
        <v>0.5894006912154751</v>
      </c>
      <c r="J21" s="6">
        <v>1.33350797926092</v>
      </c>
      <c r="K21" s="6">
        <v>0.22225132987682</v>
      </c>
      <c r="L21" s="6">
        <v>0.1705941743285327</v>
      </c>
      <c r="M21" s="6">
        <v>0.198718647857523</v>
      </c>
      <c r="N21" s="6">
        <v>0.01401746964297635</v>
      </c>
      <c r="O21" s="6">
        <v>0.01401746964297635</v>
      </c>
      <c r="P21" s="6">
        <v>0.06861442500969177</v>
      </c>
      <c r="Q21" s="6">
        <v>0.3062695750927348</v>
      </c>
      <c r="R21" s="6">
        <v>0.237655150083043</v>
      </c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6">
        <v>50.0</v>
      </c>
      <c r="B22" s="7" t="s">
        <v>69</v>
      </c>
      <c r="C22" s="9" t="s">
        <v>70</v>
      </c>
      <c r="D22" s="9" t="s">
        <v>14</v>
      </c>
      <c r="E22" s="6">
        <v>1.0</v>
      </c>
      <c r="F22" s="6">
        <v>1.0</v>
      </c>
      <c r="G22" s="6">
        <v>1.249128021272323</v>
      </c>
      <c r="H22" s="6">
        <v>1.249128021272323</v>
      </c>
      <c r="I22" s="6">
        <v>0.0</v>
      </c>
      <c r="J22" s="6">
        <v>1.249128021272323</v>
      </c>
      <c r="K22" s="6">
        <v>1.249128021272323</v>
      </c>
      <c r="L22" s="6">
        <v>1.249128021272323</v>
      </c>
      <c r="M22" s="6">
        <v>0.0</v>
      </c>
      <c r="N22" s="6">
        <v>1.249128021272323</v>
      </c>
      <c r="O22" s="6">
        <v>1.249128021272323</v>
      </c>
      <c r="P22" s="6">
        <v>1.249128021272323</v>
      </c>
      <c r="Q22" s="6">
        <v>1.249128021272323</v>
      </c>
      <c r="R22" s="6">
        <v>0.0</v>
      </c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6">
        <v>3.0</v>
      </c>
      <c r="B23" s="7" t="s">
        <v>47</v>
      </c>
      <c r="C23" s="9" t="s">
        <v>48</v>
      </c>
      <c r="D23" s="9" t="s">
        <v>27</v>
      </c>
      <c r="E23" s="6">
        <v>4.0</v>
      </c>
      <c r="F23" s="6">
        <v>4.0</v>
      </c>
      <c r="G23" s="6">
        <v>0.002414338909325496</v>
      </c>
      <c r="H23" s="6">
        <v>0.742091361777989</v>
      </c>
      <c r="I23" s="6">
        <v>0.7396770228686634</v>
      </c>
      <c r="J23" s="6">
        <v>1.134018971698907</v>
      </c>
      <c r="K23" s="6">
        <v>0.2835047429247267</v>
      </c>
      <c r="L23" s="6">
        <v>0.1947566355057962</v>
      </c>
      <c r="M23" s="6">
        <v>0.276512959729197</v>
      </c>
      <c r="N23" s="6">
        <v>0.002414338909325496</v>
      </c>
      <c r="O23" s="6">
        <v>0.002414338909325496</v>
      </c>
      <c r="P23" s="6">
        <v>0.0887638769073774</v>
      </c>
      <c r="Q23" s="6">
        <v>0.478245608942076</v>
      </c>
      <c r="R23" s="6">
        <v>0.3894817320346986</v>
      </c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6">
        <v>1.0</v>
      </c>
      <c r="B24" s="7" t="s">
        <v>60</v>
      </c>
      <c r="C24" s="9" t="s">
        <v>61</v>
      </c>
      <c r="D24" s="9" t="s">
        <v>26</v>
      </c>
      <c r="E24" s="6">
        <v>7.0</v>
      </c>
      <c r="F24" s="6">
        <v>6.0</v>
      </c>
      <c r="G24" s="6">
        <v>0.01525183966621941</v>
      </c>
      <c r="H24" s="6">
        <v>0.6414451240742074</v>
      </c>
      <c r="I24" s="6">
        <v>0.6261932844079879</v>
      </c>
      <c r="J24" s="6">
        <v>1.108132374680734</v>
      </c>
      <c r="K24" s="6">
        <v>0.1583046249543906</v>
      </c>
      <c r="L24" s="6">
        <v>0.07597586444135833</v>
      </c>
      <c r="M24" s="6">
        <v>0.2073800478942467</v>
      </c>
      <c r="N24" s="6">
        <v>0.01525183966621941</v>
      </c>
      <c r="O24" s="6">
        <v>0.1709487795146888</v>
      </c>
      <c r="P24" s="6">
        <v>0.01678099373478568</v>
      </c>
      <c r="Q24" s="6">
        <v>0.1709487795146888</v>
      </c>
      <c r="R24" s="6">
        <v>0.1541677857799031</v>
      </c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6">
        <v>55.0</v>
      </c>
      <c r="B25" s="7" t="s">
        <v>56</v>
      </c>
      <c r="C25" s="8" t="s">
        <v>57</v>
      </c>
      <c r="D25" s="9" t="s">
        <v>12</v>
      </c>
      <c r="E25" s="6">
        <v>5.0</v>
      </c>
      <c r="F25" s="6">
        <v>5.0</v>
      </c>
      <c r="G25" s="6">
        <v>0.03728455544508626</v>
      </c>
      <c r="H25" s="6">
        <v>0.6685432582526466</v>
      </c>
      <c r="I25" s="6">
        <v>0.6312587028075604</v>
      </c>
      <c r="J25" s="6">
        <v>0.9934163187258365</v>
      </c>
      <c r="K25" s="6">
        <v>0.1986832637451673</v>
      </c>
      <c r="L25" s="6">
        <v>0.1149766497932292</v>
      </c>
      <c r="M25" s="6">
        <v>0.2374267220858206</v>
      </c>
      <c r="N25" s="6">
        <v>0.03728455544508626</v>
      </c>
      <c r="O25" s="6">
        <v>0.03728455544508626</v>
      </c>
      <c r="P25" s="6">
        <v>0.04905572122233124</v>
      </c>
      <c r="Q25" s="6">
        <v>0.1235561340125432</v>
      </c>
      <c r="R25" s="6">
        <v>0.07450041279021194</v>
      </c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6">
        <v>33.0</v>
      </c>
      <c r="B26" s="7" t="s">
        <v>71</v>
      </c>
      <c r="C26" s="9" t="s">
        <v>72</v>
      </c>
      <c r="D26" s="9" t="s">
        <v>26</v>
      </c>
      <c r="E26" s="6">
        <v>3.0</v>
      </c>
      <c r="F26" s="6">
        <v>3.0</v>
      </c>
      <c r="G26" s="6">
        <v>0.1476425939307872</v>
      </c>
      <c r="H26" s="6">
        <v>0.6264785299276039</v>
      </c>
      <c r="I26" s="6">
        <v>0.4788359359968167</v>
      </c>
      <c r="J26" s="6">
        <v>0.9381795815590983</v>
      </c>
      <c r="K26" s="6">
        <v>0.3127265271863661</v>
      </c>
      <c r="L26" s="6">
        <v>0.1640584577007073</v>
      </c>
      <c r="M26" s="6">
        <v>0.2219573676241024</v>
      </c>
      <c r="N26" s="6">
        <v>0.1476425939307872</v>
      </c>
      <c r="O26" s="6">
        <v>0.1476425939307872</v>
      </c>
      <c r="P26" s="6">
        <v>0.1558505258157473</v>
      </c>
      <c r="Q26" s="6">
        <v>0.3952684938141556</v>
      </c>
      <c r="R26" s="6">
        <v>0.2394179679984083</v>
      </c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6">
        <v>18.0</v>
      </c>
      <c r="B27" s="7" t="s">
        <v>66</v>
      </c>
      <c r="C27" s="9" t="s">
        <v>67</v>
      </c>
      <c r="D27" s="9" t="s">
        <v>9</v>
      </c>
      <c r="E27" s="6">
        <v>6.0</v>
      </c>
      <c r="F27" s="6">
        <v>6.0</v>
      </c>
      <c r="G27" s="6">
        <v>0.001426754437033829</v>
      </c>
      <c r="H27" s="6">
        <v>0.3635023098401082</v>
      </c>
      <c r="I27" s="6">
        <v>0.3620755554030743</v>
      </c>
      <c r="J27" s="6">
        <v>0.8955067080505048</v>
      </c>
      <c r="K27" s="6">
        <v>0.1492511180084175</v>
      </c>
      <c r="L27" s="6">
        <v>0.1388915901858664</v>
      </c>
      <c r="M27" s="6">
        <v>0.1214306137708558</v>
      </c>
      <c r="N27" s="6">
        <v>0.001426754437033829</v>
      </c>
      <c r="O27" s="6">
        <v>0.001426754437033829</v>
      </c>
      <c r="P27" s="6">
        <v>0.04379731987958616</v>
      </c>
      <c r="Q27" s="6">
        <v>0.2089971435220437</v>
      </c>
      <c r="R27" s="6">
        <v>0.1651998236424576</v>
      </c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6">
        <v>78.0</v>
      </c>
      <c r="B28" s="7" t="s">
        <v>66</v>
      </c>
      <c r="C28" s="9" t="s">
        <v>67</v>
      </c>
      <c r="D28" s="9" t="s">
        <v>31</v>
      </c>
      <c r="E28" s="6">
        <v>1.0</v>
      </c>
      <c r="F28" s="6">
        <v>1.0</v>
      </c>
      <c r="G28" s="6">
        <v>0.7778925335109345</v>
      </c>
      <c r="H28" s="6">
        <v>0.7778925335109345</v>
      </c>
      <c r="I28" s="6">
        <v>0.0</v>
      </c>
      <c r="J28" s="6">
        <v>0.7778925335109345</v>
      </c>
      <c r="K28" s="6">
        <v>0.7778925335109345</v>
      </c>
      <c r="L28" s="6">
        <v>0.7778925335109345</v>
      </c>
      <c r="M28" s="6">
        <v>0.0</v>
      </c>
      <c r="N28" s="6">
        <v>0.7778925335109345</v>
      </c>
      <c r="O28" s="6">
        <v>0.7778925335109345</v>
      </c>
      <c r="P28" s="6">
        <v>0.7778925335109345</v>
      </c>
      <c r="Q28" s="6">
        <v>0.7778925335109345</v>
      </c>
      <c r="R28" s="6">
        <v>0.0</v>
      </c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6">
        <v>6.0</v>
      </c>
      <c r="B29" s="7" t="s">
        <v>60</v>
      </c>
      <c r="C29" s="9" t="s">
        <v>61</v>
      </c>
      <c r="D29" s="9" t="s">
        <v>24</v>
      </c>
      <c r="E29" s="6">
        <v>2.0</v>
      </c>
      <c r="F29" s="6">
        <v>2.0</v>
      </c>
      <c r="G29" s="6">
        <v>2.307542805495996E-4</v>
      </c>
      <c r="H29" s="6">
        <v>0.7531284704222917</v>
      </c>
      <c r="I29" s="6">
        <v>0.7528977161417421</v>
      </c>
      <c r="J29" s="6">
        <v>0.7533592247028413</v>
      </c>
      <c r="K29" s="6">
        <v>0.3766796123514207</v>
      </c>
      <c r="L29" s="6">
        <v>0.3766796123514207</v>
      </c>
      <c r="M29" s="6">
        <v>0.376448858070871</v>
      </c>
      <c r="N29" s="6">
        <v>2.307542805495996E-4</v>
      </c>
      <c r="O29" s="6">
        <v>2.307542805495996E-4</v>
      </c>
      <c r="P29" s="6">
        <v>2.307542805495996E-4</v>
      </c>
      <c r="Q29" s="6">
        <v>0.7531284704222917</v>
      </c>
      <c r="R29" s="6">
        <v>0.7528977161417421</v>
      </c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6">
        <v>44.0</v>
      </c>
      <c r="B30" s="7" t="s">
        <v>47</v>
      </c>
      <c r="C30" s="9" t="s">
        <v>48</v>
      </c>
      <c r="D30" s="9" t="s">
        <v>46</v>
      </c>
      <c r="E30" s="6">
        <v>2.0</v>
      </c>
      <c r="F30" s="6">
        <v>1.0</v>
      </c>
      <c r="G30" s="6">
        <v>0.3625793225807257</v>
      </c>
      <c r="H30" s="6">
        <v>0.3625793225807257</v>
      </c>
      <c r="I30" s="6">
        <v>0.0</v>
      </c>
      <c r="J30" s="6">
        <v>0.7251586451614513</v>
      </c>
      <c r="K30" s="6">
        <v>0.3625793225807257</v>
      </c>
      <c r="L30" s="6">
        <v>0.3625793225807257</v>
      </c>
      <c r="M30" s="6">
        <v>0.0</v>
      </c>
      <c r="N30" s="6">
        <v>0.3625793225807257</v>
      </c>
      <c r="O30" s="6">
        <v>0.3625793225807257</v>
      </c>
      <c r="P30" s="6">
        <v>0.3625793225807257</v>
      </c>
      <c r="Q30" s="6">
        <v>0.3625793225807257</v>
      </c>
      <c r="R30" s="6">
        <v>0.0</v>
      </c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6">
        <v>27.0</v>
      </c>
      <c r="B31" s="7" t="s">
        <v>47</v>
      </c>
      <c r="C31" s="9" t="s">
        <v>48</v>
      </c>
      <c r="D31" s="9" t="s">
        <v>39</v>
      </c>
      <c r="E31" s="6">
        <v>6.0</v>
      </c>
      <c r="F31" s="6">
        <v>6.0</v>
      </c>
      <c r="G31" s="6">
        <v>2.677300014269912E-4</v>
      </c>
      <c r="H31" s="6">
        <v>0.5668855784052529</v>
      </c>
      <c r="I31" s="6">
        <v>0.5666178484038259</v>
      </c>
      <c r="J31" s="6">
        <v>0.7022422506860121</v>
      </c>
      <c r="K31" s="6">
        <v>0.1170403751143353</v>
      </c>
      <c r="L31" s="6">
        <v>0.03181352189455744</v>
      </c>
      <c r="M31" s="6">
        <v>0.2027225292128391</v>
      </c>
      <c r="N31" s="6">
        <v>2.677300014269912E-4</v>
      </c>
      <c r="O31" s="6">
        <v>2.677300014269912E-4</v>
      </c>
      <c r="P31" s="6">
        <v>6.401860015482177E-4</v>
      </c>
      <c r="Q31" s="6">
        <v>0.07082171248866913</v>
      </c>
      <c r="R31" s="6">
        <v>0.07018152648712091</v>
      </c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6">
        <v>36.0</v>
      </c>
      <c r="B32" s="7" t="s">
        <v>73</v>
      </c>
      <c r="C32" s="9" t="s">
        <v>74</v>
      </c>
      <c r="D32" s="9" t="s">
        <v>14</v>
      </c>
      <c r="E32" s="6">
        <v>2.0</v>
      </c>
      <c r="F32" s="6">
        <v>2.0</v>
      </c>
      <c r="G32" s="6">
        <v>0.2068674131388821</v>
      </c>
      <c r="H32" s="6">
        <v>0.4684640232645402</v>
      </c>
      <c r="I32" s="6">
        <v>0.2615966101256581</v>
      </c>
      <c r="J32" s="6">
        <v>0.6753314364034222</v>
      </c>
      <c r="K32" s="6">
        <v>0.3376657182017111</v>
      </c>
      <c r="L32" s="6">
        <v>0.3376657182017111</v>
      </c>
      <c r="M32" s="6">
        <v>0.1307983050628291</v>
      </c>
      <c r="N32" s="6">
        <v>0.2068674131388821</v>
      </c>
      <c r="O32" s="6">
        <v>0.2068674131388821</v>
      </c>
      <c r="P32" s="6">
        <v>0.2068674131388821</v>
      </c>
      <c r="Q32" s="6">
        <v>0.4684640232645402</v>
      </c>
      <c r="R32" s="6">
        <v>0.2615966101256581</v>
      </c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6">
        <v>49.0</v>
      </c>
      <c r="B33" s="7" t="s">
        <v>69</v>
      </c>
      <c r="C33" s="9" t="s">
        <v>70</v>
      </c>
      <c r="D33" s="9" t="s">
        <v>12</v>
      </c>
      <c r="E33" s="6">
        <v>1.0</v>
      </c>
      <c r="F33" s="6">
        <v>1.0</v>
      </c>
      <c r="G33" s="6">
        <v>0.6592965882999953</v>
      </c>
      <c r="H33" s="6">
        <v>0.6592965882999953</v>
      </c>
      <c r="I33" s="6">
        <v>0.0</v>
      </c>
      <c r="J33" s="6">
        <v>0.6592965882999953</v>
      </c>
      <c r="K33" s="6">
        <v>0.6592965882999953</v>
      </c>
      <c r="L33" s="6">
        <v>0.6592965882999953</v>
      </c>
      <c r="M33" s="6">
        <v>0.0</v>
      </c>
      <c r="N33" s="6">
        <v>0.6592965882999953</v>
      </c>
      <c r="O33" s="6">
        <v>0.6592965882999953</v>
      </c>
      <c r="P33" s="6">
        <v>0.6592965882999953</v>
      </c>
      <c r="Q33" s="6">
        <v>0.6592965882999953</v>
      </c>
      <c r="R33" s="6">
        <v>0.0</v>
      </c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6">
        <v>10.0</v>
      </c>
      <c r="B34" s="7" t="s">
        <v>47</v>
      </c>
      <c r="C34" s="9" t="s">
        <v>48</v>
      </c>
      <c r="D34" s="9" t="s">
        <v>32</v>
      </c>
      <c r="E34" s="6">
        <v>6.0</v>
      </c>
      <c r="F34" s="6">
        <v>6.0</v>
      </c>
      <c r="G34" s="6">
        <v>0.01387012052417415</v>
      </c>
      <c r="H34" s="6">
        <v>0.4180166385176953</v>
      </c>
      <c r="I34" s="6">
        <v>0.4041465179935212</v>
      </c>
      <c r="J34" s="6">
        <v>0.6549791778694615</v>
      </c>
      <c r="K34" s="6">
        <v>0.1091631963115769</v>
      </c>
      <c r="L34" s="6">
        <v>0.05130639160799891</v>
      </c>
      <c r="M34" s="6">
        <v>0.1394562115552377</v>
      </c>
      <c r="N34" s="6">
        <v>0.01387012052417415</v>
      </c>
      <c r="O34" s="6">
        <v>0.01387012052417415</v>
      </c>
      <c r="P34" s="6">
        <v>0.04185028353778952</v>
      </c>
      <c r="Q34" s="6">
        <v>0.07862935207380464</v>
      </c>
      <c r="R34" s="6">
        <v>0.03677906853601513</v>
      </c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6">
        <v>52.0</v>
      </c>
      <c r="B35" s="7" t="s">
        <v>56</v>
      </c>
      <c r="C35" s="8" t="s">
        <v>57</v>
      </c>
      <c r="D35" s="9" t="s">
        <v>11</v>
      </c>
      <c r="E35" s="6">
        <v>4.0</v>
      </c>
      <c r="F35" s="6">
        <v>4.0</v>
      </c>
      <c r="G35" s="6">
        <v>8.235796089424229E-4</v>
      </c>
      <c r="H35" s="6">
        <v>0.550602595704347</v>
      </c>
      <c r="I35" s="6">
        <v>0.5497790160954046</v>
      </c>
      <c r="J35" s="6">
        <v>0.6179854725438082</v>
      </c>
      <c r="K35" s="6">
        <v>0.1544963681359521</v>
      </c>
      <c r="L35" s="6">
        <v>0.03327964861525941</v>
      </c>
      <c r="M35" s="6">
        <v>0.2296678221555329</v>
      </c>
      <c r="N35" s="6">
        <v>8.235796089424229E-4</v>
      </c>
      <c r="O35" s="6">
        <v>8.235796089424229E-4</v>
      </c>
      <c r="P35" s="6">
        <v>0.005396258584419358</v>
      </c>
      <c r="Q35" s="6">
        <v>0.3035964776874848</v>
      </c>
      <c r="R35" s="6">
        <v>0.2982002191030654</v>
      </c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6">
        <v>71.0</v>
      </c>
      <c r="B36" s="7" t="s">
        <v>71</v>
      </c>
      <c r="C36" s="9" t="s">
        <v>72</v>
      </c>
      <c r="D36" s="9" t="s">
        <v>12</v>
      </c>
      <c r="E36" s="6">
        <v>1.0</v>
      </c>
      <c r="F36" s="6">
        <v>1.0</v>
      </c>
      <c r="G36" s="6">
        <v>0.4707250242848225</v>
      </c>
      <c r="H36" s="6">
        <v>0.4707250242848225</v>
      </c>
      <c r="I36" s="6">
        <v>0.0</v>
      </c>
      <c r="J36" s="6">
        <v>0.4707250242848225</v>
      </c>
      <c r="K36" s="6">
        <v>0.4707250242848225</v>
      </c>
      <c r="L36" s="6">
        <v>0.4707250242848225</v>
      </c>
      <c r="M36" s="6">
        <v>0.0</v>
      </c>
      <c r="N36" s="6">
        <v>0.4707250242848225</v>
      </c>
      <c r="O36" s="6">
        <v>0.4707250242848225</v>
      </c>
      <c r="P36" s="6">
        <v>0.4707250242848225</v>
      </c>
      <c r="Q36" s="6">
        <v>0.4707250242848225</v>
      </c>
      <c r="R36" s="6">
        <v>0.0</v>
      </c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6">
        <v>42.0</v>
      </c>
      <c r="B37" s="7" t="s">
        <v>47</v>
      </c>
      <c r="C37" s="9" t="s">
        <v>48</v>
      </c>
      <c r="D37" s="9" t="s">
        <v>16</v>
      </c>
      <c r="E37" s="6">
        <v>1.0</v>
      </c>
      <c r="F37" s="6">
        <v>1.0</v>
      </c>
      <c r="G37" s="6">
        <v>0.4602494991834873</v>
      </c>
      <c r="H37" s="6">
        <v>0.4602494991834873</v>
      </c>
      <c r="I37" s="6">
        <v>0.0</v>
      </c>
      <c r="J37" s="6">
        <v>0.4602494991834873</v>
      </c>
      <c r="K37" s="6">
        <v>0.4602494991834873</v>
      </c>
      <c r="L37" s="6">
        <v>0.4602494991834873</v>
      </c>
      <c r="M37" s="6">
        <v>0.0</v>
      </c>
      <c r="N37" s="6">
        <v>0.4602494991834873</v>
      </c>
      <c r="O37" s="6">
        <v>0.4602494991834873</v>
      </c>
      <c r="P37" s="6">
        <v>0.4602494991834873</v>
      </c>
      <c r="Q37" s="6">
        <v>0.4602494991834873</v>
      </c>
      <c r="R37" s="6">
        <v>0.0</v>
      </c>
      <c r="S37" s="10"/>
      <c r="T37" s="10"/>
      <c r="U37" s="10"/>
      <c r="V37" s="10"/>
      <c r="W37" s="10"/>
      <c r="X37" s="10"/>
      <c r="Y37" s="10"/>
      <c r="Z37" s="10"/>
    </row>
    <row r="38" ht="22.5" customHeight="1">
      <c r="A38" s="6">
        <v>76.0</v>
      </c>
      <c r="B38" s="7" t="s">
        <v>60</v>
      </c>
      <c r="C38" s="9" t="s">
        <v>61</v>
      </c>
      <c r="D38" s="9" t="s">
        <v>12</v>
      </c>
      <c r="E38" s="6">
        <v>2.0</v>
      </c>
      <c r="F38" s="6">
        <v>2.0</v>
      </c>
      <c r="G38" s="6">
        <v>0.1028877086507204</v>
      </c>
      <c r="H38" s="6">
        <v>0.3288699759964353</v>
      </c>
      <c r="I38" s="6">
        <v>0.2259822673457149</v>
      </c>
      <c r="J38" s="6">
        <v>0.4317576846471557</v>
      </c>
      <c r="K38" s="6">
        <v>0.2158788423235778</v>
      </c>
      <c r="L38" s="6">
        <v>0.2158788423235778</v>
      </c>
      <c r="M38" s="6">
        <v>0.1129911336728575</v>
      </c>
      <c r="N38" s="6">
        <v>0.1028877086507204</v>
      </c>
      <c r="O38" s="6">
        <v>0.1028877086507204</v>
      </c>
      <c r="P38" s="6">
        <v>0.1028877086507204</v>
      </c>
      <c r="Q38" s="6">
        <v>0.3288699759964353</v>
      </c>
      <c r="R38" s="6">
        <v>0.2259822673457149</v>
      </c>
      <c r="S38" s="10"/>
      <c r="T38" s="10"/>
      <c r="U38" s="10"/>
      <c r="V38" s="10"/>
      <c r="W38" s="10"/>
      <c r="X38" s="10"/>
      <c r="Y38" s="10"/>
      <c r="Z38" s="10"/>
    </row>
    <row r="39" ht="22.5" customHeight="1">
      <c r="A39" s="6">
        <v>24.0</v>
      </c>
      <c r="B39" s="7" t="s">
        <v>60</v>
      </c>
      <c r="C39" s="9" t="s">
        <v>61</v>
      </c>
      <c r="D39" s="9" t="s">
        <v>29</v>
      </c>
      <c r="E39" s="6">
        <v>2.0</v>
      </c>
      <c r="F39" s="6">
        <v>2.0</v>
      </c>
      <c r="G39" s="6">
        <v>0.1519182645955308</v>
      </c>
      <c r="H39" s="6">
        <v>0.2329535078685469</v>
      </c>
      <c r="I39" s="6">
        <v>0.08103524327301603</v>
      </c>
      <c r="J39" s="6">
        <v>0.3848717724640777</v>
      </c>
      <c r="K39" s="6">
        <v>0.1924358862320389</v>
      </c>
      <c r="L39" s="6">
        <v>0.1924358862320389</v>
      </c>
      <c r="M39" s="6">
        <v>0.04051762163650802</v>
      </c>
      <c r="N39" s="6">
        <v>0.1519182645955308</v>
      </c>
      <c r="O39" s="6">
        <v>0.1519182645955308</v>
      </c>
      <c r="P39" s="6">
        <v>0.1519182645955308</v>
      </c>
      <c r="Q39" s="6">
        <v>0.2329535078685469</v>
      </c>
      <c r="R39" s="6">
        <v>0.08103524327301603</v>
      </c>
      <c r="S39" s="10"/>
      <c r="T39" s="10"/>
      <c r="U39" s="10"/>
      <c r="V39" s="10"/>
      <c r="W39" s="10"/>
      <c r="X39" s="10"/>
      <c r="Y39" s="10"/>
      <c r="Z39" s="10"/>
    </row>
    <row r="40" ht="22.5" customHeight="1">
      <c r="A40" s="6">
        <v>66.0</v>
      </c>
      <c r="B40" s="7" t="s">
        <v>71</v>
      </c>
      <c r="C40" s="9" t="s">
        <v>72</v>
      </c>
      <c r="D40" s="9" t="s">
        <v>32</v>
      </c>
      <c r="E40" s="6">
        <v>1.0</v>
      </c>
      <c r="F40" s="6">
        <v>1.0</v>
      </c>
      <c r="G40" s="6">
        <v>0.3203649028027082</v>
      </c>
      <c r="H40" s="6">
        <v>0.3203649028027082</v>
      </c>
      <c r="I40" s="6">
        <v>0.0</v>
      </c>
      <c r="J40" s="6">
        <v>0.3203649028027082</v>
      </c>
      <c r="K40" s="6">
        <v>0.3203649028027082</v>
      </c>
      <c r="L40" s="6">
        <v>0.3203649028027082</v>
      </c>
      <c r="M40" s="6">
        <v>0.0</v>
      </c>
      <c r="N40" s="6">
        <v>0.3203649028027082</v>
      </c>
      <c r="O40" s="6">
        <v>0.3203649028027082</v>
      </c>
      <c r="P40" s="6">
        <v>0.3203649028027082</v>
      </c>
      <c r="Q40" s="6">
        <v>0.3203649028027082</v>
      </c>
      <c r="R40" s="6">
        <v>0.0</v>
      </c>
      <c r="S40" s="10"/>
      <c r="T40" s="10"/>
      <c r="U40" s="10"/>
      <c r="V40" s="10"/>
      <c r="W40" s="10"/>
      <c r="X40" s="10"/>
      <c r="Y40" s="10"/>
      <c r="Z40" s="10"/>
    </row>
    <row r="41" ht="22.5" customHeight="1">
      <c r="A41" s="6">
        <v>21.0</v>
      </c>
      <c r="B41" s="7" t="s">
        <v>47</v>
      </c>
      <c r="C41" s="9" t="s">
        <v>48</v>
      </c>
      <c r="D41" s="9" t="s">
        <v>17</v>
      </c>
      <c r="E41" s="6">
        <v>5.0</v>
      </c>
      <c r="F41" s="6">
        <v>5.0</v>
      </c>
      <c r="G41" s="6">
        <v>4.874179364604496E-5</v>
      </c>
      <c r="H41" s="6">
        <v>0.1646741824830453</v>
      </c>
      <c r="I41" s="6">
        <v>0.1646254406893993</v>
      </c>
      <c r="J41" s="6">
        <v>0.3100364938539648</v>
      </c>
      <c r="K41" s="6">
        <v>0.06200729877079296</v>
      </c>
      <c r="L41" s="6">
        <v>0.03309948868503875</v>
      </c>
      <c r="M41" s="6">
        <v>0.06549050807375142</v>
      </c>
      <c r="N41" s="6">
        <v>4.874179364604496E-5</v>
      </c>
      <c r="O41" s="6">
        <v>4.874179364604496E-5</v>
      </c>
      <c r="P41" s="6">
        <v>6.075185366218123E-4</v>
      </c>
      <c r="Q41" s="6">
        <v>0.1116065623556129</v>
      </c>
      <c r="R41" s="6">
        <v>0.1109990438189911</v>
      </c>
      <c r="S41" s="10"/>
      <c r="T41" s="10"/>
      <c r="U41" s="10"/>
      <c r="V41" s="10"/>
      <c r="W41" s="10"/>
      <c r="X41" s="10"/>
      <c r="Y41" s="10"/>
      <c r="Z41" s="10"/>
    </row>
    <row r="42" ht="22.5" customHeight="1">
      <c r="A42" s="6">
        <v>54.0</v>
      </c>
      <c r="B42" s="7" t="s">
        <v>66</v>
      </c>
      <c r="C42" s="9" t="s">
        <v>67</v>
      </c>
      <c r="D42" s="9" t="s">
        <v>19</v>
      </c>
      <c r="E42" s="6">
        <v>1.0</v>
      </c>
      <c r="F42" s="6">
        <v>1.0</v>
      </c>
      <c r="G42" s="6">
        <v>0.2905454431030249</v>
      </c>
      <c r="H42" s="6">
        <v>0.2905454431030249</v>
      </c>
      <c r="I42" s="6">
        <v>0.0</v>
      </c>
      <c r="J42" s="6">
        <v>0.2905454431030249</v>
      </c>
      <c r="K42" s="6">
        <v>0.2905454431030249</v>
      </c>
      <c r="L42" s="6">
        <v>0.2905454431030249</v>
      </c>
      <c r="M42" s="6">
        <v>0.0</v>
      </c>
      <c r="N42" s="6">
        <v>0.2905454431030249</v>
      </c>
      <c r="O42" s="6">
        <v>0.2905454431030249</v>
      </c>
      <c r="P42" s="6">
        <v>0.2905454431030249</v>
      </c>
      <c r="Q42" s="6">
        <v>0.2905454431030249</v>
      </c>
      <c r="R42" s="6">
        <v>0.0</v>
      </c>
      <c r="S42" s="10"/>
      <c r="T42" s="10"/>
      <c r="U42" s="10"/>
      <c r="V42" s="10"/>
      <c r="W42" s="10"/>
      <c r="X42" s="10"/>
      <c r="Y42" s="10"/>
      <c r="Z42" s="10"/>
    </row>
    <row r="43" ht="22.5" customHeight="1">
      <c r="A43" s="6">
        <v>4.0</v>
      </c>
      <c r="B43" s="7" t="s">
        <v>47</v>
      </c>
      <c r="C43" s="9" t="s">
        <v>48</v>
      </c>
      <c r="D43" s="9" t="s">
        <v>23</v>
      </c>
      <c r="E43" s="6">
        <v>2.0</v>
      </c>
      <c r="F43" s="6">
        <v>2.0</v>
      </c>
      <c r="G43" s="6">
        <v>0.001761363193918567</v>
      </c>
      <c r="H43" s="6">
        <v>0.2491134479910824</v>
      </c>
      <c r="I43" s="6">
        <v>0.2473520847971639</v>
      </c>
      <c r="J43" s="6">
        <v>0.250874811185001</v>
      </c>
      <c r="K43" s="6">
        <v>0.1254374055925005</v>
      </c>
      <c r="L43" s="6">
        <v>0.1254374055925005</v>
      </c>
      <c r="M43" s="6">
        <v>0.1236760423985819</v>
      </c>
      <c r="N43" s="6">
        <v>0.001761363193918567</v>
      </c>
      <c r="O43" s="6">
        <v>0.001761363193918567</v>
      </c>
      <c r="P43" s="6">
        <v>0.001761363193918567</v>
      </c>
      <c r="Q43" s="6">
        <v>0.2491134479910824</v>
      </c>
      <c r="R43" s="6">
        <v>0.2473520847971639</v>
      </c>
      <c r="S43" s="10"/>
      <c r="T43" s="10"/>
      <c r="U43" s="10"/>
      <c r="V43" s="10"/>
      <c r="W43" s="10"/>
      <c r="X43" s="10"/>
      <c r="Y43" s="10"/>
      <c r="Z43" s="10"/>
    </row>
    <row r="44" ht="22.5" customHeight="1">
      <c r="A44" s="6">
        <v>65.0</v>
      </c>
      <c r="B44" s="7" t="s">
        <v>71</v>
      </c>
      <c r="C44" s="9" t="s">
        <v>72</v>
      </c>
      <c r="D44" s="9" t="s">
        <v>36</v>
      </c>
      <c r="E44" s="6">
        <v>1.0</v>
      </c>
      <c r="F44" s="6">
        <v>1.0</v>
      </c>
      <c r="G44" s="6">
        <v>0.2456899406050291</v>
      </c>
      <c r="H44" s="6">
        <v>0.2456899406050291</v>
      </c>
      <c r="I44" s="6">
        <v>0.0</v>
      </c>
      <c r="J44" s="6">
        <v>0.2456899406050291</v>
      </c>
      <c r="K44" s="6">
        <v>0.2456899406050291</v>
      </c>
      <c r="L44" s="6">
        <v>0.2456899406050291</v>
      </c>
      <c r="M44" s="6">
        <v>0.0</v>
      </c>
      <c r="N44" s="6">
        <v>0.2456899406050291</v>
      </c>
      <c r="O44" s="6">
        <v>0.2456899406050291</v>
      </c>
      <c r="P44" s="6">
        <v>0.2456899406050291</v>
      </c>
      <c r="Q44" s="6">
        <v>0.2456899406050291</v>
      </c>
      <c r="R44" s="6">
        <v>0.0</v>
      </c>
      <c r="S44" s="10"/>
      <c r="T44" s="10"/>
      <c r="U44" s="10"/>
      <c r="V44" s="10"/>
      <c r="W44" s="10"/>
      <c r="X44" s="10"/>
      <c r="Y44" s="10"/>
      <c r="Z44" s="10"/>
    </row>
    <row r="45" ht="22.5" customHeight="1">
      <c r="A45" s="6">
        <v>77.0</v>
      </c>
      <c r="B45" s="7" t="s">
        <v>47</v>
      </c>
      <c r="C45" s="9" t="s">
        <v>48</v>
      </c>
      <c r="D45" s="9" t="s">
        <v>44</v>
      </c>
      <c r="E45" s="6">
        <v>1.0</v>
      </c>
      <c r="F45" s="6">
        <v>1.0</v>
      </c>
      <c r="G45" s="6">
        <v>0.2058743079622631</v>
      </c>
      <c r="H45" s="6">
        <v>0.2058743079622631</v>
      </c>
      <c r="I45" s="6">
        <v>0.0</v>
      </c>
      <c r="J45" s="6">
        <v>0.2058743079622631</v>
      </c>
      <c r="K45" s="6">
        <v>0.2058743079622631</v>
      </c>
      <c r="L45" s="6">
        <v>0.2058743079622631</v>
      </c>
      <c r="M45" s="6">
        <v>0.0</v>
      </c>
      <c r="N45" s="6">
        <v>0.2058743079622631</v>
      </c>
      <c r="O45" s="6">
        <v>0.2058743079622631</v>
      </c>
      <c r="P45" s="6">
        <v>0.2058743079622631</v>
      </c>
      <c r="Q45" s="6">
        <v>0.2058743079622631</v>
      </c>
      <c r="R45" s="6">
        <v>0.0</v>
      </c>
      <c r="S45" s="10"/>
      <c r="T45" s="10"/>
      <c r="U45" s="10"/>
      <c r="V45" s="10"/>
      <c r="W45" s="10"/>
      <c r="X45" s="10"/>
      <c r="Y45" s="10"/>
      <c r="Z45" s="10"/>
    </row>
    <row r="46" ht="22.5" customHeight="1">
      <c r="A46" s="6">
        <v>25.0</v>
      </c>
      <c r="B46" s="7" t="s">
        <v>60</v>
      </c>
      <c r="C46" s="9" t="s">
        <v>61</v>
      </c>
      <c r="D46" s="9" t="s">
        <v>18</v>
      </c>
      <c r="E46" s="6">
        <v>2.0</v>
      </c>
      <c r="F46" s="6">
        <v>2.0</v>
      </c>
      <c r="G46" s="6">
        <v>0.05221238925933745</v>
      </c>
      <c r="H46" s="6">
        <v>0.1234589848632533</v>
      </c>
      <c r="I46" s="6">
        <v>0.07124659560391589</v>
      </c>
      <c r="J46" s="6">
        <v>0.1756713741225908</v>
      </c>
      <c r="K46" s="6">
        <v>0.0878356870612954</v>
      </c>
      <c r="L46" s="6">
        <v>0.0878356870612954</v>
      </c>
      <c r="M46" s="6">
        <v>0.03562329780195794</v>
      </c>
      <c r="N46" s="6">
        <v>0.05221238925933745</v>
      </c>
      <c r="O46" s="6">
        <v>0.05221238925933745</v>
      </c>
      <c r="P46" s="6">
        <v>0.05221238925933745</v>
      </c>
      <c r="Q46" s="6">
        <v>0.1234589848632533</v>
      </c>
      <c r="R46" s="6">
        <v>0.07124659560391589</v>
      </c>
      <c r="S46" s="10"/>
      <c r="T46" s="10"/>
      <c r="U46" s="10"/>
      <c r="V46" s="10"/>
      <c r="W46" s="10"/>
      <c r="X46" s="10"/>
      <c r="Y46" s="10"/>
      <c r="Z46" s="10"/>
    </row>
    <row r="47" ht="22.5" customHeight="1">
      <c r="A47" s="6">
        <v>34.0</v>
      </c>
      <c r="B47" s="7" t="s">
        <v>73</v>
      </c>
      <c r="C47" s="9" t="s">
        <v>74</v>
      </c>
      <c r="D47" s="9" t="s">
        <v>19</v>
      </c>
      <c r="E47" s="6">
        <v>2.0</v>
      </c>
      <c r="F47" s="6">
        <v>2.0</v>
      </c>
      <c r="G47" s="6">
        <v>0.03699124331149746</v>
      </c>
      <c r="H47" s="6">
        <v>0.1375313904204261</v>
      </c>
      <c r="I47" s="6">
        <v>0.1005401471089287</v>
      </c>
      <c r="J47" s="6">
        <v>0.1745226337319236</v>
      </c>
      <c r="K47" s="6">
        <v>0.08726131686596181</v>
      </c>
      <c r="L47" s="6">
        <v>0.08726131686596181</v>
      </c>
      <c r="M47" s="6">
        <v>0.05027007355446434</v>
      </c>
      <c r="N47" s="6">
        <v>0.03699124331149746</v>
      </c>
      <c r="O47" s="6">
        <v>0.03699124331149746</v>
      </c>
      <c r="P47" s="6">
        <v>0.03699124331149746</v>
      </c>
      <c r="Q47" s="6">
        <v>0.1375313904204261</v>
      </c>
      <c r="R47" s="6">
        <v>0.1005401471089287</v>
      </c>
      <c r="S47" s="10"/>
      <c r="T47" s="10"/>
      <c r="U47" s="10"/>
      <c r="V47" s="10"/>
      <c r="W47" s="10"/>
      <c r="X47" s="10"/>
      <c r="Y47" s="10"/>
      <c r="Z47" s="10"/>
    </row>
    <row r="48" ht="22.5" customHeight="1">
      <c r="A48" s="6">
        <v>72.0</v>
      </c>
      <c r="B48" s="7" t="s">
        <v>71</v>
      </c>
      <c r="C48" s="9" t="s">
        <v>72</v>
      </c>
      <c r="D48" s="9" t="s">
        <v>38</v>
      </c>
      <c r="E48" s="6">
        <v>1.0</v>
      </c>
      <c r="F48" s="6">
        <v>1.0</v>
      </c>
      <c r="G48" s="6">
        <v>0.1503672531394772</v>
      </c>
      <c r="H48" s="6">
        <v>0.1503672531394772</v>
      </c>
      <c r="I48" s="6">
        <v>0.0</v>
      </c>
      <c r="J48" s="6">
        <v>0.1503672531394772</v>
      </c>
      <c r="K48" s="6">
        <v>0.1503672531394772</v>
      </c>
      <c r="L48" s="6">
        <v>0.1503672531394772</v>
      </c>
      <c r="M48" s="6">
        <v>0.0</v>
      </c>
      <c r="N48" s="6">
        <v>0.1503672531394772</v>
      </c>
      <c r="O48" s="6">
        <v>0.1503672531394772</v>
      </c>
      <c r="P48" s="6">
        <v>0.1503672531394772</v>
      </c>
      <c r="Q48" s="6">
        <v>0.1503672531394772</v>
      </c>
      <c r="R48" s="6">
        <v>0.0</v>
      </c>
      <c r="S48" s="10"/>
      <c r="T48" s="10"/>
      <c r="U48" s="10"/>
      <c r="V48" s="10"/>
      <c r="W48" s="10"/>
      <c r="X48" s="10"/>
      <c r="Y48" s="10"/>
      <c r="Z48" s="10"/>
    </row>
    <row r="49" ht="22.5" customHeight="1">
      <c r="A49" s="6">
        <v>81.0</v>
      </c>
      <c r="B49" s="7" t="s">
        <v>60</v>
      </c>
      <c r="C49" s="9" t="s">
        <v>61</v>
      </c>
      <c r="D49" s="9" t="s">
        <v>45</v>
      </c>
      <c r="E49" s="6">
        <v>3.0</v>
      </c>
      <c r="F49" s="6">
        <v>3.0</v>
      </c>
      <c r="G49" s="6">
        <v>0.02638967089271395</v>
      </c>
      <c r="H49" s="6">
        <v>0.08901877849872389</v>
      </c>
      <c r="I49" s="6">
        <v>0.06262910760600994</v>
      </c>
      <c r="J49" s="6">
        <v>0.1438095644671566</v>
      </c>
      <c r="K49" s="6">
        <v>0.0479365214890522</v>
      </c>
      <c r="L49" s="6">
        <v>0.02840111507571876</v>
      </c>
      <c r="M49" s="6">
        <v>0.02906114654404714</v>
      </c>
      <c r="N49" s="6">
        <v>0.02638967089271395</v>
      </c>
      <c r="O49" s="6">
        <v>0.02638967089271395</v>
      </c>
      <c r="P49" s="6">
        <v>0.02739539298421636</v>
      </c>
      <c r="Q49" s="6">
        <v>0.05870994678722132</v>
      </c>
      <c r="R49" s="6">
        <v>0.03131455380300496</v>
      </c>
      <c r="S49" s="10"/>
      <c r="T49" s="10"/>
      <c r="U49" s="10"/>
      <c r="V49" s="10"/>
      <c r="W49" s="10"/>
      <c r="X49" s="10"/>
      <c r="Y49" s="10"/>
      <c r="Z49" s="10"/>
    </row>
    <row r="50" ht="22.5" customHeight="1">
      <c r="A50" s="6">
        <v>26.0</v>
      </c>
      <c r="B50" s="7" t="s">
        <v>60</v>
      </c>
      <c r="C50" s="9" t="s">
        <v>61</v>
      </c>
      <c r="D50" s="9" t="s">
        <v>20</v>
      </c>
      <c r="E50" s="6">
        <v>5.0</v>
      </c>
      <c r="F50" s="6">
        <v>4.0</v>
      </c>
      <c r="G50" s="6">
        <v>0.00943529048617724</v>
      </c>
      <c r="H50" s="6">
        <v>0.02961802077075994</v>
      </c>
      <c r="I50" s="6">
        <v>0.0201827302845827</v>
      </c>
      <c r="J50" s="6">
        <v>0.09228853169675792</v>
      </c>
      <c r="K50" s="6">
        <v>0.01845770633935159</v>
      </c>
      <c r="L50" s="6">
        <v>0.01342965089915906</v>
      </c>
      <c r="M50" s="6">
        <v>0.009210711937484455</v>
      </c>
      <c r="N50" s="6">
        <v>0.00943529048617724</v>
      </c>
      <c r="O50" s="6">
        <v>0.02961802077075994</v>
      </c>
      <c r="P50" s="6">
        <v>0.01018754876990175</v>
      </c>
      <c r="Q50" s="6">
        <v>0.02961802077075994</v>
      </c>
      <c r="R50" s="6">
        <v>0.01943047200085819</v>
      </c>
      <c r="S50" s="10"/>
      <c r="T50" s="10"/>
      <c r="U50" s="10"/>
      <c r="V50" s="10"/>
      <c r="W50" s="10"/>
      <c r="X50" s="10"/>
      <c r="Y50" s="10"/>
      <c r="Z50" s="10"/>
    </row>
    <row r="51" ht="22.5" customHeight="1">
      <c r="A51" s="6">
        <v>38.0</v>
      </c>
      <c r="B51" s="7" t="s">
        <v>73</v>
      </c>
      <c r="C51" s="9" t="s">
        <v>74</v>
      </c>
      <c r="D51" s="9" t="s">
        <v>26</v>
      </c>
      <c r="E51" s="6">
        <v>1.0</v>
      </c>
      <c r="F51" s="6">
        <v>1.0</v>
      </c>
      <c r="G51" s="6">
        <v>0.09061789275063771</v>
      </c>
      <c r="H51" s="6">
        <v>0.09061789275063771</v>
      </c>
      <c r="I51" s="6">
        <v>0.0</v>
      </c>
      <c r="J51" s="6">
        <v>0.09061789275063771</v>
      </c>
      <c r="K51" s="6">
        <v>0.09061789275063771</v>
      </c>
      <c r="L51" s="6">
        <v>0.09061789275063771</v>
      </c>
      <c r="M51" s="6">
        <v>0.0</v>
      </c>
      <c r="N51" s="6">
        <v>0.09061789275063771</v>
      </c>
      <c r="O51" s="6">
        <v>0.09061789275063771</v>
      </c>
      <c r="P51" s="6">
        <v>0.09061789275063771</v>
      </c>
      <c r="Q51" s="6">
        <v>0.09061789275063771</v>
      </c>
      <c r="R51" s="6">
        <v>0.0</v>
      </c>
      <c r="S51" s="10"/>
      <c r="T51" s="10"/>
      <c r="U51" s="10"/>
      <c r="V51" s="10"/>
      <c r="W51" s="10"/>
      <c r="X51" s="10"/>
      <c r="Y51" s="10"/>
      <c r="Z51" s="10"/>
    </row>
    <row r="52" ht="22.5" customHeight="1">
      <c r="A52" s="6">
        <v>73.0</v>
      </c>
      <c r="B52" s="7" t="s">
        <v>56</v>
      </c>
      <c r="C52" s="8" t="s">
        <v>57</v>
      </c>
      <c r="D52" s="9" t="s">
        <v>9</v>
      </c>
      <c r="E52" s="6">
        <v>1.0</v>
      </c>
      <c r="F52" s="6">
        <v>1.0</v>
      </c>
      <c r="G52" s="6">
        <v>0.08632806149902313</v>
      </c>
      <c r="H52" s="6">
        <v>0.08632806149902313</v>
      </c>
      <c r="I52" s="6">
        <v>0.0</v>
      </c>
      <c r="J52" s="6">
        <v>0.08632806149902313</v>
      </c>
      <c r="K52" s="6">
        <v>0.08632806149902313</v>
      </c>
      <c r="L52" s="6">
        <v>0.08632806149902313</v>
      </c>
      <c r="M52" s="6">
        <v>0.0</v>
      </c>
      <c r="N52" s="6">
        <v>0.08632806149902313</v>
      </c>
      <c r="O52" s="6">
        <v>0.08632806149902313</v>
      </c>
      <c r="P52" s="6">
        <v>0.08632806149902313</v>
      </c>
      <c r="Q52" s="6">
        <v>0.08632806149902313</v>
      </c>
      <c r="R52" s="6">
        <v>0.0</v>
      </c>
      <c r="S52" s="10"/>
      <c r="T52" s="10"/>
      <c r="U52" s="10"/>
      <c r="V52" s="10"/>
      <c r="W52" s="10"/>
      <c r="X52" s="10"/>
      <c r="Y52" s="10"/>
      <c r="Z52" s="10"/>
    </row>
    <row r="53" ht="22.5" customHeight="1">
      <c r="A53" s="6">
        <v>64.0</v>
      </c>
      <c r="B53" s="7" t="s">
        <v>71</v>
      </c>
      <c r="C53" s="9" t="s">
        <v>72</v>
      </c>
      <c r="D53" s="9" t="s">
        <v>9</v>
      </c>
      <c r="E53" s="6">
        <v>1.0</v>
      </c>
      <c r="F53" s="6">
        <v>1.0</v>
      </c>
      <c r="G53" s="6">
        <v>0.07897435709260042</v>
      </c>
      <c r="H53" s="6">
        <v>0.07897435709260042</v>
      </c>
      <c r="I53" s="6">
        <v>0.0</v>
      </c>
      <c r="J53" s="6">
        <v>0.07897435709260042</v>
      </c>
      <c r="K53" s="6">
        <v>0.07897435709260042</v>
      </c>
      <c r="L53" s="6">
        <v>0.07897435709260042</v>
      </c>
      <c r="M53" s="6">
        <v>0.0</v>
      </c>
      <c r="N53" s="6">
        <v>0.07897435709260042</v>
      </c>
      <c r="O53" s="6">
        <v>0.07897435709260042</v>
      </c>
      <c r="P53" s="6">
        <v>0.07897435709260042</v>
      </c>
      <c r="Q53" s="6">
        <v>0.07897435709260042</v>
      </c>
      <c r="R53" s="6">
        <v>0.0</v>
      </c>
      <c r="S53" s="10"/>
      <c r="T53" s="10"/>
      <c r="U53" s="10"/>
      <c r="V53" s="10"/>
      <c r="W53" s="10"/>
      <c r="X53" s="10"/>
      <c r="Y53" s="10"/>
      <c r="Z53" s="10"/>
    </row>
    <row r="54" ht="22.5" customHeight="1">
      <c r="A54" s="6">
        <v>12.0</v>
      </c>
      <c r="B54" s="7" t="s">
        <v>47</v>
      </c>
      <c r="C54" s="9" t="s">
        <v>48</v>
      </c>
      <c r="D54" s="9" t="s">
        <v>37</v>
      </c>
      <c r="E54" s="6">
        <v>3.0</v>
      </c>
      <c r="F54" s="6">
        <v>3.0</v>
      </c>
      <c r="G54" s="6">
        <v>0.01279292590506725</v>
      </c>
      <c r="H54" s="6">
        <v>0.04184255443721072</v>
      </c>
      <c r="I54" s="6">
        <v>0.02904962853214347</v>
      </c>
      <c r="J54" s="6">
        <v>0.07698201219330912</v>
      </c>
      <c r="K54" s="6">
        <v>0.02566067073110304</v>
      </c>
      <c r="L54" s="6">
        <v>0.02234653185103114</v>
      </c>
      <c r="M54" s="6">
        <v>0.01208877900785639</v>
      </c>
      <c r="N54" s="6">
        <v>0.01279292590506725</v>
      </c>
      <c r="O54" s="6">
        <v>0.01279292590506725</v>
      </c>
      <c r="P54" s="6">
        <v>0.0175697288780492</v>
      </c>
      <c r="Q54" s="6">
        <v>0.03209454314412093</v>
      </c>
      <c r="R54" s="6">
        <v>0.01452481426607173</v>
      </c>
      <c r="S54" s="10"/>
      <c r="T54" s="10"/>
      <c r="U54" s="10"/>
      <c r="V54" s="10"/>
      <c r="W54" s="10"/>
      <c r="X54" s="10"/>
      <c r="Y54" s="10"/>
      <c r="Z54" s="10"/>
    </row>
    <row r="55" ht="22.5" customHeight="1">
      <c r="A55" s="6">
        <v>7.0</v>
      </c>
      <c r="B55" s="7" t="s">
        <v>60</v>
      </c>
      <c r="C55" s="9" t="s">
        <v>61</v>
      </c>
      <c r="D55" s="9" t="s">
        <v>25</v>
      </c>
      <c r="E55" s="6">
        <v>3.0</v>
      </c>
      <c r="F55" s="6">
        <v>3.0</v>
      </c>
      <c r="G55" s="6">
        <v>2.491491162352582E-4</v>
      </c>
      <c r="H55" s="6">
        <v>0.06294956651270187</v>
      </c>
      <c r="I55" s="6">
        <v>0.0627004173964666</v>
      </c>
      <c r="J55" s="6">
        <v>0.06412745252580186</v>
      </c>
      <c r="K55" s="6">
        <v>0.02137581750860062</v>
      </c>
      <c r="L55" s="6">
        <v>9.287368968647414E-4</v>
      </c>
      <c r="M55" s="6">
        <v>0.02939838901005634</v>
      </c>
      <c r="N55" s="6">
        <v>2.491491162352582E-4</v>
      </c>
      <c r="O55" s="6">
        <v>2.491491162352582E-4</v>
      </c>
      <c r="P55" s="6">
        <v>5.889430065499998E-4</v>
      </c>
      <c r="Q55" s="6">
        <v>0.0319391517047833</v>
      </c>
      <c r="R55" s="6">
        <v>0.0313502086982333</v>
      </c>
      <c r="S55" s="10"/>
      <c r="T55" s="10"/>
      <c r="U55" s="10"/>
      <c r="V55" s="10"/>
      <c r="W55" s="10"/>
      <c r="X55" s="10"/>
      <c r="Y55" s="10"/>
      <c r="Z55" s="10"/>
    </row>
    <row r="56" ht="22.5" customHeight="1">
      <c r="A56" s="6">
        <v>70.0</v>
      </c>
      <c r="B56" s="7" t="s">
        <v>71</v>
      </c>
      <c r="C56" s="9" t="s">
        <v>72</v>
      </c>
      <c r="D56" s="9" t="s">
        <v>39</v>
      </c>
      <c r="E56" s="6">
        <v>3.0</v>
      </c>
      <c r="F56" s="6">
        <v>3.0</v>
      </c>
      <c r="G56" s="6">
        <v>6.586353083078821E-4</v>
      </c>
      <c r="H56" s="6">
        <v>0.0406581453978589</v>
      </c>
      <c r="I56" s="6">
        <v>0.03999951008955101</v>
      </c>
      <c r="J56" s="6">
        <v>0.06092966462617676</v>
      </c>
      <c r="K56" s="6">
        <v>0.02030988820872559</v>
      </c>
      <c r="L56" s="6">
        <v>0.01961288392000997</v>
      </c>
      <c r="M56" s="6">
        <v>0.0163371675040869</v>
      </c>
      <c r="N56" s="6">
        <v>6.586353083078821E-4</v>
      </c>
      <c r="O56" s="6">
        <v>6.586353083078821E-4</v>
      </c>
      <c r="P56" s="6">
        <v>0.01013575961415893</v>
      </c>
      <c r="Q56" s="6">
        <v>0.03013551465893444</v>
      </c>
      <c r="R56" s="6">
        <v>0.01999975504477551</v>
      </c>
      <c r="S56" s="10"/>
      <c r="T56" s="10"/>
      <c r="U56" s="10"/>
      <c r="V56" s="10"/>
      <c r="W56" s="10"/>
      <c r="X56" s="10"/>
      <c r="Y56" s="10"/>
      <c r="Z56" s="10"/>
    </row>
    <row r="57" ht="22.5" customHeight="1">
      <c r="A57" s="6">
        <v>62.0</v>
      </c>
      <c r="B57" s="7" t="s">
        <v>73</v>
      </c>
      <c r="C57" s="9" t="s">
        <v>74</v>
      </c>
      <c r="D57" s="9" t="s">
        <v>42</v>
      </c>
      <c r="E57" s="6">
        <v>1.0</v>
      </c>
      <c r="F57" s="6">
        <v>1.0</v>
      </c>
      <c r="G57" s="6">
        <v>0.05058469473819756</v>
      </c>
      <c r="H57" s="6">
        <v>0.05058469473819756</v>
      </c>
      <c r="I57" s="6">
        <v>0.0</v>
      </c>
      <c r="J57" s="6">
        <v>0.05058469473819756</v>
      </c>
      <c r="K57" s="6">
        <v>0.05058469473819756</v>
      </c>
      <c r="L57" s="6">
        <v>0.05058469473819756</v>
      </c>
      <c r="M57" s="6">
        <v>0.0</v>
      </c>
      <c r="N57" s="6">
        <v>0.05058469473819756</v>
      </c>
      <c r="O57" s="6">
        <v>0.05058469473819756</v>
      </c>
      <c r="P57" s="6">
        <v>0.05058469473819756</v>
      </c>
      <c r="Q57" s="6">
        <v>0.05058469473819756</v>
      </c>
      <c r="R57" s="6">
        <v>0.0</v>
      </c>
      <c r="S57" s="10"/>
      <c r="T57" s="10"/>
      <c r="U57" s="10"/>
      <c r="V57" s="10"/>
      <c r="W57" s="10"/>
      <c r="X57" s="10"/>
      <c r="Y57" s="10"/>
      <c r="Z57" s="10"/>
    </row>
    <row r="58" ht="22.5" customHeight="1">
      <c r="A58" s="6">
        <v>58.0</v>
      </c>
      <c r="B58" s="7" t="s">
        <v>60</v>
      </c>
      <c r="C58" s="9" t="s">
        <v>61</v>
      </c>
      <c r="D58" s="9" t="s">
        <v>32</v>
      </c>
      <c r="E58" s="6">
        <v>2.0</v>
      </c>
      <c r="F58" s="6">
        <v>2.0</v>
      </c>
      <c r="G58" s="6">
        <v>0.02251357311007987</v>
      </c>
      <c r="H58" s="6">
        <v>0.02628836483532177</v>
      </c>
      <c r="I58" s="6">
        <v>0.003774791725241894</v>
      </c>
      <c r="J58" s="6">
        <v>0.04880193794540164</v>
      </c>
      <c r="K58" s="6">
        <v>0.02440096897270082</v>
      </c>
      <c r="L58" s="6">
        <v>0.02440096897270082</v>
      </c>
      <c r="M58" s="6">
        <v>0.001887395862620947</v>
      </c>
      <c r="N58" s="6">
        <v>0.02251357311007987</v>
      </c>
      <c r="O58" s="6">
        <v>0.02251357311007987</v>
      </c>
      <c r="P58" s="6">
        <v>0.02251357311007987</v>
      </c>
      <c r="Q58" s="6">
        <v>0.02628836483532177</v>
      </c>
      <c r="R58" s="6">
        <v>0.003774791725241894</v>
      </c>
      <c r="S58" s="10"/>
      <c r="T58" s="10"/>
      <c r="U58" s="10"/>
      <c r="V58" s="10"/>
      <c r="W58" s="10"/>
      <c r="X58" s="10"/>
      <c r="Y58" s="10"/>
      <c r="Z58" s="10"/>
    </row>
    <row r="59" ht="22.5" customHeight="1">
      <c r="A59" s="6">
        <v>85.0</v>
      </c>
      <c r="B59" s="7" t="s">
        <v>60</v>
      </c>
      <c r="C59" s="9" t="s">
        <v>61</v>
      </c>
      <c r="D59" s="9" t="s">
        <v>39</v>
      </c>
      <c r="E59" s="6">
        <v>1.0</v>
      </c>
      <c r="F59" s="6">
        <v>1.0</v>
      </c>
      <c r="G59" s="6">
        <v>0.04335660397716149</v>
      </c>
      <c r="H59" s="6">
        <v>0.04335660397716149</v>
      </c>
      <c r="I59" s="6">
        <v>0.0</v>
      </c>
      <c r="J59" s="6">
        <v>0.04335660397716149</v>
      </c>
      <c r="K59" s="6">
        <v>0.04335660397716149</v>
      </c>
      <c r="L59" s="6">
        <v>0.04335660397716149</v>
      </c>
      <c r="M59" s="6">
        <v>0.0</v>
      </c>
      <c r="N59" s="6">
        <v>0.04335660397716149</v>
      </c>
      <c r="O59" s="6">
        <v>0.04335660397716149</v>
      </c>
      <c r="P59" s="6">
        <v>0.04335660397716149</v>
      </c>
      <c r="Q59" s="6">
        <v>0.04335660397716149</v>
      </c>
      <c r="R59" s="6">
        <v>0.0</v>
      </c>
      <c r="S59" s="10"/>
      <c r="T59" s="10"/>
      <c r="U59" s="10"/>
      <c r="V59" s="10"/>
      <c r="W59" s="10"/>
      <c r="X59" s="10"/>
      <c r="Y59" s="10"/>
      <c r="Z59" s="10"/>
    </row>
    <row r="60" ht="22.5" customHeight="1">
      <c r="A60" s="6">
        <v>84.0</v>
      </c>
      <c r="B60" s="7" t="s">
        <v>60</v>
      </c>
      <c r="C60" s="9" t="s">
        <v>61</v>
      </c>
      <c r="D60" s="9" t="s">
        <v>42</v>
      </c>
      <c r="E60" s="6">
        <v>3.0</v>
      </c>
      <c r="F60" s="6">
        <v>3.0</v>
      </c>
      <c r="G60" s="6">
        <v>2.483653461370751E-4</v>
      </c>
      <c r="H60" s="6">
        <v>0.02281981709286446</v>
      </c>
      <c r="I60" s="6">
        <v>0.02257145174672738</v>
      </c>
      <c r="J60" s="6">
        <v>0.04229833016934684</v>
      </c>
      <c r="K60" s="6">
        <v>0.01409944338978228</v>
      </c>
      <c r="L60" s="6">
        <v>0.01923014773034531</v>
      </c>
      <c r="M60" s="6">
        <v>0.009903221824618991</v>
      </c>
      <c r="N60" s="6">
        <v>2.483653461370751E-4</v>
      </c>
      <c r="O60" s="6">
        <v>2.483653461370751E-4</v>
      </c>
      <c r="P60" s="6">
        <v>0.009739256538241191</v>
      </c>
      <c r="Q60" s="6">
        <v>0.02102498241160488</v>
      </c>
      <c r="R60" s="6">
        <v>0.01128572587336369</v>
      </c>
      <c r="S60" s="10"/>
      <c r="T60" s="10"/>
      <c r="U60" s="10"/>
      <c r="V60" s="10"/>
      <c r="W60" s="10"/>
      <c r="X60" s="10"/>
      <c r="Y60" s="10"/>
      <c r="Z60" s="10"/>
    </row>
    <row r="61" ht="22.5" customHeight="1">
      <c r="A61" s="6">
        <v>61.0</v>
      </c>
      <c r="B61" s="7" t="s">
        <v>73</v>
      </c>
      <c r="C61" s="9" t="s">
        <v>74</v>
      </c>
      <c r="D61" s="9" t="s">
        <v>32</v>
      </c>
      <c r="E61" s="6">
        <v>1.0</v>
      </c>
      <c r="F61" s="6">
        <v>1.0</v>
      </c>
      <c r="G61" s="6">
        <v>0.03986130609109358</v>
      </c>
      <c r="H61" s="6">
        <v>0.03986130609109358</v>
      </c>
      <c r="I61" s="6">
        <v>0.0</v>
      </c>
      <c r="J61" s="6">
        <v>0.03986130609109358</v>
      </c>
      <c r="K61" s="6">
        <v>0.03986130609109358</v>
      </c>
      <c r="L61" s="6">
        <v>0.03986130609109358</v>
      </c>
      <c r="M61" s="6">
        <v>0.0</v>
      </c>
      <c r="N61" s="6">
        <v>0.03986130609109358</v>
      </c>
      <c r="O61" s="6">
        <v>0.03986130609109358</v>
      </c>
      <c r="P61" s="6">
        <v>0.03986130609109358</v>
      </c>
      <c r="Q61" s="6">
        <v>0.03986130609109358</v>
      </c>
      <c r="R61" s="6">
        <v>0.0</v>
      </c>
      <c r="S61" s="10"/>
      <c r="T61" s="10"/>
      <c r="U61" s="10"/>
      <c r="V61" s="10"/>
      <c r="W61" s="10"/>
      <c r="X61" s="10"/>
      <c r="Y61" s="10"/>
      <c r="Z61" s="10"/>
    </row>
    <row r="62" ht="22.5" customHeight="1">
      <c r="A62" s="6">
        <v>51.0</v>
      </c>
      <c r="B62" s="7" t="s">
        <v>56</v>
      </c>
      <c r="C62" s="8" t="s">
        <v>57</v>
      </c>
      <c r="D62" s="9" t="s">
        <v>30</v>
      </c>
      <c r="E62" s="6">
        <v>2.0</v>
      </c>
      <c r="F62" s="6">
        <v>2.0</v>
      </c>
      <c r="G62" s="6">
        <v>0.004211305755642101</v>
      </c>
      <c r="H62" s="6">
        <v>0.02985019607015671</v>
      </c>
      <c r="I62" s="6">
        <v>0.02563889031451461</v>
      </c>
      <c r="J62" s="6">
        <v>0.03406150182579881</v>
      </c>
      <c r="K62" s="6">
        <v>0.01703075091289941</v>
      </c>
      <c r="L62" s="6">
        <v>0.01703075091289941</v>
      </c>
      <c r="M62" s="6">
        <v>0.0128194451572573</v>
      </c>
      <c r="N62" s="6">
        <v>0.004211305755642101</v>
      </c>
      <c r="O62" s="6">
        <v>0.004211305755642101</v>
      </c>
      <c r="P62" s="6">
        <v>0.004211305755642101</v>
      </c>
      <c r="Q62" s="6">
        <v>0.02985019607015671</v>
      </c>
      <c r="R62" s="6">
        <v>0.02563889031451461</v>
      </c>
      <c r="S62" s="10"/>
      <c r="T62" s="10"/>
      <c r="U62" s="10"/>
      <c r="V62" s="10"/>
      <c r="W62" s="10"/>
      <c r="X62" s="10"/>
      <c r="Y62" s="10"/>
      <c r="Z62" s="10"/>
    </row>
    <row r="63" ht="22.5" customHeight="1">
      <c r="A63" s="6">
        <v>30.0</v>
      </c>
      <c r="B63" s="7" t="s">
        <v>66</v>
      </c>
      <c r="C63" s="9" t="s">
        <v>67</v>
      </c>
      <c r="D63" s="9" t="s">
        <v>38</v>
      </c>
      <c r="E63" s="6">
        <v>1.0</v>
      </c>
      <c r="F63" s="6">
        <v>1.0</v>
      </c>
      <c r="G63" s="6">
        <v>0.03339448815298323</v>
      </c>
      <c r="H63" s="6">
        <v>0.03339448815298323</v>
      </c>
      <c r="I63" s="6">
        <v>0.0</v>
      </c>
      <c r="J63" s="6">
        <v>0.03339448815298323</v>
      </c>
      <c r="K63" s="6">
        <v>0.03339448815298323</v>
      </c>
      <c r="L63" s="6">
        <v>0.03339448815298323</v>
      </c>
      <c r="M63" s="6">
        <v>0.0</v>
      </c>
      <c r="N63" s="6">
        <v>0.03339448815298323</v>
      </c>
      <c r="O63" s="6">
        <v>0.03339448815298323</v>
      </c>
      <c r="P63" s="6">
        <v>0.03339448815298323</v>
      </c>
      <c r="Q63" s="6">
        <v>0.03339448815298323</v>
      </c>
      <c r="R63" s="6">
        <v>0.0</v>
      </c>
      <c r="S63" s="10"/>
      <c r="T63" s="10"/>
      <c r="U63" s="10"/>
      <c r="V63" s="10"/>
      <c r="W63" s="10"/>
      <c r="X63" s="10"/>
      <c r="Y63" s="10"/>
      <c r="Z63" s="10"/>
    </row>
    <row r="64" ht="22.5" customHeight="1">
      <c r="A64" s="6">
        <v>29.0</v>
      </c>
      <c r="B64" s="7" t="s">
        <v>66</v>
      </c>
      <c r="C64" s="9" t="s">
        <v>67</v>
      </c>
      <c r="D64" s="9" t="s">
        <v>34</v>
      </c>
      <c r="E64" s="6">
        <v>1.0</v>
      </c>
      <c r="F64" s="6">
        <v>1.0</v>
      </c>
      <c r="G64" s="6">
        <v>0.03328841418871172</v>
      </c>
      <c r="H64" s="6">
        <v>0.03328841418871172</v>
      </c>
      <c r="I64" s="6">
        <v>0.0</v>
      </c>
      <c r="J64" s="6">
        <v>0.03328841418871172</v>
      </c>
      <c r="K64" s="6">
        <v>0.03328841418871172</v>
      </c>
      <c r="L64" s="6">
        <v>0.03328841418871172</v>
      </c>
      <c r="M64" s="6">
        <v>0.0</v>
      </c>
      <c r="N64" s="6">
        <v>0.03328841418871172</v>
      </c>
      <c r="O64" s="6">
        <v>0.03328841418871172</v>
      </c>
      <c r="P64" s="6">
        <v>0.03328841418871172</v>
      </c>
      <c r="Q64" s="6">
        <v>0.03328841418871172</v>
      </c>
      <c r="R64" s="6">
        <v>0.0</v>
      </c>
      <c r="S64" s="10"/>
      <c r="T64" s="10"/>
      <c r="U64" s="10"/>
      <c r="V64" s="10"/>
      <c r="W64" s="10"/>
      <c r="X64" s="10"/>
      <c r="Y64" s="10"/>
      <c r="Z64" s="10"/>
    </row>
    <row r="65" ht="22.5" customHeight="1">
      <c r="A65" s="6">
        <v>32.0</v>
      </c>
      <c r="B65" s="7" t="s">
        <v>47</v>
      </c>
      <c r="C65" s="9" t="s">
        <v>48</v>
      </c>
      <c r="D65" s="9" t="s">
        <v>10</v>
      </c>
      <c r="E65" s="6">
        <v>2.0</v>
      </c>
      <c r="F65" s="6">
        <v>2.0</v>
      </c>
      <c r="G65" s="6">
        <v>0.002217370942647631</v>
      </c>
      <c r="H65" s="6">
        <v>0.02626160441265383</v>
      </c>
      <c r="I65" s="6">
        <v>0.0240442334700062</v>
      </c>
      <c r="J65" s="6">
        <v>0.02847897535530146</v>
      </c>
      <c r="K65" s="6">
        <v>0.01423948767765073</v>
      </c>
      <c r="L65" s="6">
        <v>0.01423948767765073</v>
      </c>
      <c r="M65" s="6">
        <v>0.0120221167350031</v>
      </c>
      <c r="N65" s="6">
        <v>0.002217370942647631</v>
      </c>
      <c r="O65" s="6">
        <v>0.002217370942647631</v>
      </c>
      <c r="P65" s="6">
        <v>0.002217370942647631</v>
      </c>
      <c r="Q65" s="6">
        <v>0.02626160441265383</v>
      </c>
      <c r="R65" s="6">
        <v>0.0240442334700062</v>
      </c>
      <c r="S65" s="10"/>
      <c r="T65" s="10"/>
      <c r="U65" s="10"/>
      <c r="V65" s="10"/>
      <c r="W65" s="10"/>
      <c r="X65" s="10"/>
      <c r="Y65" s="10"/>
      <c r="Z65" s="10"/>
    </row>
    <row r="66" ht="22.5" customHeight="1">
      <c r="A66" s="6">
        <v>82.0</v>
      </c>
      <c r="B66" s="7" t="s">
        <v>60</v>
      </c>
      <c r="C66" s="9" t="s">
        <v>61</v>
      </c>
      <c r="D66" s="9" t="s">
        <v>41</v>
      </c>
      <c r="E66" s="6">
        <v>1.0</v>
      </c>
      <c r="F66" s="6">
        <v>1.0</v>
      </c>
      <c r="G66" s="6">
        <v>0.02114674202392059</v>
      </c>
      <c r="H66" s="6">
        <v>0.02114674202392059</v>
      </c>
      <c r="I66" s="6">
        <v>0.0</v>
      </c>
      <c r="J66" s="6">
        <v>0.02114674202392059</v>
      </c>
      <c r="K66" s="6">
        <v>0.02114674202392059</v>
      </c>
      <c r="L66" s="6">
        <v>0.02114674202392059</v>
      </c>
      <c r="M66" s="6">
        <v>0.0</v>
      </c>
      <c r="N66" s="6">
        <v>0.02114674202392059</v>
      </c>
      <c r="O66" s="6">
        <v>0.02114674202392059</v>
      </c>
      <c r="P66" s="6">
        <v>0.02114674202392059</v>
      </c>
      <c r="Q66" s="6">
        <v>0.02114674202392059</v>
      </c>
      <c r="R66" s="6">
        <v>0.0</v>
      </c>
      <c r="S66" s="10"/>
      <c r="T66" s="10"/>
      <c r="U66" s="10"/>
      <c r="V66" s="10"/>
      <c r="W66" s="10"/>
      <c r="X66" s="10"/>
      <c r="Y66" s="10"/>
      <c r="Z66" s="10"/>
    </row>
    <row r="67" ht="22.5" customHeight="1">
      <c r="A67" s="6">
        <v>22.0</v>
      </c>
      <c r="B67" s="7" t="s">
        <v>60</v>
      </c>
      <c r="C67" s="9" t="s">
        <v>61</v>
      </c>
      <c r="D67" s="9" t="s">
        <v>38</v>
      </c>
      <c r="E67" s="6">
        <v>1.0</v>
      </c>
      <c r="F67" s="6">
        <v>1.0</v>
      </c>
      <c r="G67" s="6">
        <v>0.02111673848976168</v>
      </c>
      <c r="H67" s="6">
        <v>0.02111673848976168</v>
      </c>
      <c r="I67" s="6">
        <v>0.0</v>
      </c>
      <c r="J67" s="6">
        <v>0.02111673848976168</v>
      </c>
      <c r="K67" s="6">
        <v>0.02111673848976168</v>
      </c>
      <c r="L67" s="6">
        <v>0.02111673848976168</v>
      </c>
      <c r="M67" s="6">
        <v>0.0</v>
      </c>
      <c r="N67" s="6">
        <v>0.02111673848976168</v>
      </c>
      <c r="O67" s="6">
        <v>0.02111673848976168</v>
      </c>
      <c r="P67" s="6">
        <v>0.02111673848976168</v>
      </c>
      <c r="Q67" s="6">
        <v>0.02111673848976168</v>
      </c>
      <c r="R67" s="6">
        <v>0.0</v>
      </c>
      <c r="S67" s="10"/>
      <c r="T67" s="10"/>
      <c r="U67" s="10"/>
      <c r="V67" s="10"/>
      <c r="W67" s="10"/>
      <c r="X67" s="10"/>
      <c r="Y67" s="10"/>
      <c r="Z67" s="10"/>
    </row>
    <row r="68" ht="22.5" customHeight="1">
      <c r="A68" s="6">
        <v>69.0</v>
      </c>
      <c r="B68" s="7" t="s">
        <v>71</v>
      </c>
      <c r="C68" s="9" t="s">
        <v>72</v>
      </c>
      <c r="D68" s="9" t="s">
        <v>37</v>
      </c>
      <c r="E68" s="6">
        <v>1.0</v>
      </c>
      <c r="F68" s="6">
        <v>1.0</v>
      </c>
      <c r="G68" s="6">
        <v>0.0202110601936353</v>
      </c>
      <c r="H68" s="6">
        <v>0.0202110601936353</v>
      </c>
      <c r="I68" s="6">
        <v>0.0</v>
      </c>
      <c r="J68" s="6">
        <v>0.0202110601936353</v>
      </c>
      <c r="K68" s="6">
        <v>0.0202110601936353</v>
      </c>
      <c r="L68" s="6">
        <v>0.0202110601936353</v>
      </c>
      <c r="M68" s="6">
        <v>0.0</v>
      </c>
      <c r="N68" s="6">
        <v>0.0202110601936353</v>
      </c>
      <c r="O68" s="6">
        <v>0.0202110601936353</v>
      </c>
      <c r="P68" s="6">
        <v>0.0202110601936353</v>
      </c>
      <c r="Q68" s="6">
        <v>0.0202110601936353</v>
      </c>
      <c r="R68" s="6">
        <v>0.0</v>
      </c>
      <c r="S68" s="10"/>
      <c r="T68" s="10"/>
      <c r="U68" s="10"/>
      <c r="V68" s="10"/>
      <c r="W68" s="10"/>
      <c r="X68" s="10"/>
      <c r="Y68" s="10"/>
      <c r="Z68" s="10"/>
    </row>
    <row r="69" ht="22.5" customHeight="1">
      <c r="A69" s="6">
        <v>23.0</v>
      </c>
      <c r="B69" s="7" t="s">
        <v>60</v>
      </c>
      <c r="C69" s="9" t="s">
        <v>61</v>
      </c>
      <c r="D69" s="9" t="s">
        <v>11</v>
      </c>
      <c r="E69" s="6">
        <v>2.0</v>
      </c>
      <c r="F69" s="6">
        <v>2.0</v>
      </c>
      <c r="G69" s="6">
        <v>7.218732864421861E-4</v>
      </c>
      <c r="H69" s="6">
        <v>0.01326855298785565</v>
      </c>
      <c r="I69" s="6">
        <v>0.01254667970141347</v>
      </c>
      <c r="J69" s="6">
        <v>0.01399042627429784</v>
      </c>
      <c r="K69" s="6">
        <v>0.006995213137148918</v>
      </c>
      <c r="L69" s="6">
        <v>0.006995213137148918</v>
      </c>
      <c r="M69" s="6">
        <v>0.006273339850706732</v>
      </c>
      <c r="N69" s="6">
        <v>7.218732864421861E-4</v>
      </c>
      <c r="O69" s="6">
        <v>7.218732864421861E-4</v>
      </c>
      <c r="P69" s="6">
        <v>7.218732864421861E-4</v>
      </c>
      <c r="Q69" s="6">
        <v>0.01326855298785565</v>
      </c>
      <c r="R69" s="6">
        <v>0.01254667970141347</v>
      </c>
      <c r="S69" s="10"/>
      <c r="T69" s="10"/>
      <c r="U69" s="10"/>
      <c r="V69" s="10"/>
      <c r="W69" s="10"/>
      <c r="X69" s="10"/>
      <c r="Y69" s="10"/>
      <c r="Z69" s="10"/>
    </row>
    <row r="70" ht="22.5" customHeight="1">
      <c r="A70" s="6">
        <v>68.0</v>
      </c>
      <c r="B70" s="7" t="s">
        <v>71</v>
      </c>
      <c r="C70" s="9" t="s">
        <v>72</v>
      </c>
      <c r="D70" s="9" t="s">
        <v>19</v>
      </c>
      <c r="E70" s="6">
        <v>2.0</v>
      </c>
      <c r="F70" s="6">
        <v>2.0</v>
      </c>
      <c r="G70" s="6">
        <v>0.004469312932233954</v>
      </c>
      <c r="H70" s="6">
        <v>0.008924457627451497</v>
      </c>
      <c r="I70" s="6">
        <v>0.004455144695217544</v>
      </c>
      <c r="J70" s="6">
        <v>0.01339377055968545</v>
      </c>
      <c r="K70" s="6">
        <v>0.006696885279842725</v>
      </c>
      <c r="L70" s="6">
        <v>0.006696885279842725</v>
      </c>
      <c r="M70" s="6">
        <v>0.002227572347608772</v>
      </c>
      <c r="N70" s="6">
        <v>0.004469312932233954</v>
      </c>
      <c r="O70" s="6">
        <v>0.004469312932233954</v>
      </c>
      <c r="P70" s="6">
        <v>0.004469312932233954</v>
      </c>
      <c r="Q70" s="6">
        <v>0.008924457627451497</v>
      </c>
      <c r="R70" s="6">
        <v>0.004455144695217544</v>
      </c>
      <c r="S70" s="10"/>
      <c r="T70" s="10"/>
      <c r="U70" s="10"/>
      <c r="V70" s="10"/>
      <c r="W70" s="10"/>
      <c r="X70" s="10"/>
      <c r="Y70" s="10"/>
      <c r="Z70" s="10"/>
    </row>
    <row r="71" ht="22.5" customHeight="1">
      <c r="A71" s="6">
        <v>75.0</v>
      </c>
      <c r="B71" s="7" t="s">
        <v>66</v>
      </c>
      <c r="C71" s="9" t="s">
        <v>67</v>
      </c>
      <c r="D71" s="9" t="s">
        <v>32</v>
      </c>
      <c r="E71" s="6">
        <v>1.0</v>
      </c>
      <c r="F71" s="6">
        <v>1.0</v>
      </c>
      <c r="G71" s="6">
        <v>0.01337196419192555</v>
      </c>
      <c r="H71" s="6">
        <v>0.01337196419192555</v>
      </c>
      <c r="I71" s="6">
        <v>0.0</v>
      </c>
      <c r="J71" s="6">
        <v>0.01337196419192555</v>
      </c>
      <c r="K71" s="6">
        <v>0.01337196419192555</v>
      </c>
      <c r="L71" s="6">
        <v>0.01337196419192555</v>
      </c>
      <c r="M71" s="6">
        <v>0.0</v>
      </c>
      <c r="N71" s="6">
        <v>0.01337196419192555</v>
      </c>
      <c r="O71" s="6">
        <v>0.01337196419192555</v>
      </c>
      <c r="P71" s="6">
        <v>0.01337196419192555</v>
      </c>
      <c r="Q71" s="6">
        <v>0.01337196419192555</v>
      </c>
      <c r="R71" s="6">
        <v>0.0</v>
      </c>
      <c r="S71" s="10"/>
      <c r="T71" s="10"/>
      <c r="U71" s="10"/>
      <c r="V71" s="10"/>
      <c r="W71" s="10"/>
      <c r="X71" s="10"/>
      <c r="Y71" s="10"/>
      <c r="Z71" s="10"/>
    </row>
    <row r="72" ht="22.5" customHeight="1">
      <c r="A72" s="6">
        <v>83.0</v>
      </c>
      <c r="B72" s="7" t="s">
        <v>60</v>
      </c>
      <c r="C72" s="9" t="s">
        <v>61</v>
      </c>
      <c r="D72" s="9" t="s">
        <v>17</v>
      </c>
      <c r="E72" s="6">
        <v>1.0</v>
      </c>
      <c r="F72" s="6">
        <v>1.0</v>
      </c>
      <c r="G72" s="6">
        <v>0.01199770270776443</v>
      </c>
      <c r="H72" s="6">
        <v>0.01199770270776443</v>
      </c>
      <c r="I72" s="6">
        <v>0.0</v>
      </c>
      <c r="J72" s="6">
        <v>0.01199770270776443</v>
      </c>
      <c r="K72" s="6">
        <v>0.01199770270776443</v>
      </c>
      <c r="L72" s="6">
        <v>0.01199770270776443</v>
      </c>
      <c r="M72" s="6">
        <v>0.0</v>
      </c>
      <c r="N72" s="6">
        <v>0.01199770270776443</v>
      </c>
      <c r="O72" s="6">
        <v>0.01199770270776443</v>
      </c>
      <c r="P72" s="6">
        <v>0.01199770270776443</v>
      </c>
      <c r="Q72" s="6">
        <v>0.01199770270776443</v>
      </c>
      <c r="R72" s="6">
        <v>0.0</v>
      </c>
      <c r="S72" s="10"/>
      <c r="T72" s="10"/>
      <c r="U72" s="10"/>
      <c r="V72" s="10"/>
      <c r="W72" s="10"/>
      <c r="X72" s="10"/>
      <c r="Y72" s="10"/>
      <c r="Z72" s="10"/>
    </row>
    <row r="73" ht="22.5" customHeight="1">
      <c r="A73" s="6">
        <v>79.0</v>
      </c>
      <c r="B73" s="7" t="s">
        <v>69</v>
      </c>
      <c r="C73" s="9" t="s">
        <v>70</v>
      </c>
      <c r="D73" s="9" t="s">
        <v>26</v>
      </c>
      <c r="E73" s="6">
        <v>1.0</v>
      </c>
      <c r="F73" s="6">
        <v>1.0</v>
      </c>
      <c r="G73" s="6">
        <v>0.01191414083589946</v>
      </c>
      <c r="H73" s="6">
        <v>0.01191414083589946</v>
      </c>
      <c r="I73" s="6">
        <v>0.0</v>
      </c>
      <c r="J73" s="6">
        <v>0.01191414083589946</v>
      </c>
      <c r="K73" s="6">
        <v>0.01191414083589946</v>
      </c>
      <c r="L73" s="6">
        <v>0.01191414083589946</v>
      </c>
      <c r="M73" s="6">
        <v>0.0</v>
      </c>
      <c r="N73" s="6">
        <v>0.01191414083589946</v>
      </c>
      <c r="O73" s="6">
        <v>0.01191414083589946</v>
      </c>
      <c r="P73" s="6">
        <v>0.01191414083589946</v>
      </c>
      <c r="Q73" s="6">
        <v>0.01191414083589946</v>
      </c>
      <c r="R73" s="6">
        <v>0.0</v>
      </c>
      <c r="S73" s="10"/>
      <c r="T73" s="10"/>
      <c r="U73" s="10"/>
      <c r="V73" s="10"/>
      <c r="W73" s="10"/>
      <c r="X73" s="10"/>
      <c r="Y73" s="10"/>
      <c r="Z73" s="10"/>
    </row>
    <row r="74" ht="22.5" customHeight="1">
      <c r="A74" s="6">
        <v>57.0</v>
      </c>
      <c r="B74" s="7" t="s">
        <v>60</v>
      </c>
      <c r="C74" s="9" t="s">
        <v>61</v>
      </c>
      <c r="D74" s="9" t="s">
        <v>10</v>
      </c>
      <c r="E74" s="6">
        <v>1.0</v>
      </c>
      <c r="F74" s="6">
        <v>1.0</v>
      </c>
      <c r="G74" s="6">
        <v>0.01154678603188561</v>
      </c>
      <c r="H74" s="6">
        <v>0.01154678603188561</v>
      </c>
      <c r="I74" s="6">
        <v>0.0</v>
      </c>
      <c r="J74" s="6">
        <v>0.01154678603188561</v>
      </c>
      <c r="K74" s="6">
        <v>0.01154678603188561</v>
      </c>
      <c r="L74" s="6">
        <v>0.01154678603188561</v>
      </c>
      <c r="M74" s="6">
        <v>0.0</v>
      </c>
      <c r="N74" s="6">
        <v>0.01154678603188561</v>
      </c>
      <c r="O74" s="6">
        <v>0.01154678603188561</v>
      </c>
      <c r="P74" s="6">
        <v>0.01154678603188561</v>
      </c>
      <c r="Q74" s="6">
        <v>0.01154678603188561</v>
      </c>
      <c r="R74" s="6">
        <v>0.0</v>
      </c>
      <c r="S74" s="10"/>
      <c r="T74" s="10"/>
      <c r="U74" s="10"/>
      <c r="V74" s="10"/>
      <c r="W74" s="10"/>
      <c r="X74" s="10"/>
      <c r="Y74" s="10"/>
      <c r="Z74" s="10"/>
    </row>
    <row r="75" ht="22.5" customHeight="1">
      <c r="A75" s="6">
        <v>37.0</v>
      </c>
      <c r="B75" s="7" t="s">
        <v>73</v>
      </c>
      <c r="C75" s="9" t="s">
        <v>74</v>
      </c>
      <c r="D75" s="9" t="s">
        <v>31</v>
      </c>
      <c r="E75" s="6">
        <v>1.0</v>
      </c>
      <c r="F75" s="6">
        <v>1.0</v>
      </c>
      <c r="G75" s="6">
        <v>0.007349316163282058</v>
      </c>
      <c r="H75" s="6">
        <v>0.007349316163282058</v>
      </c>
      <c r="I75" s="6">
        <v>0.0</v>
      </c>
      <c r="J75" s="6">
        <v>0.007349316163282058</v>
      </c>
      <c r="K75" s="6">
        <v>0.007349316163282058</v>
      </c>
      <c r="L75" s="6">
        <v>0.007349316163282058</v>
      </c>
      <c r="M75" s="6">
        <v>0.0</v>
      </c>
      <c r="N75" s="6">
        <v>0.007349316163282058</v>
      </c>
      <c r="O75" s="6">
        <v>0.007349316163282058</v>
      </c>
      <c r="P75" s="6">
        <v>0.007349316163282058</v>
      </c>
      <c r="Q75" s="6">
        <v>0.007349316163282058</v>
      </c>
      <c r="R75" s="6">
        <v>0.0</v>
      </c>
      <c r="S75" s="10"/>
      <c r="T75" s="10"/>
      <c r="U75" s="10"/>
      <c r="V75" s="10"/>
      <c r="W75" s="10"/>
      <c r="X75" s="10"/>
      <c r="Y75" s="10"/>
      <c r="Z75" s="10"/>
    </row>
    <row r="76" ht="22.5" customHeight="1">
      <c r="A76" s="6">
        <v>35.0</v>
      </c>
      <c r="B76" s="7" t="s">
        <v>73</v>
      </c>
      <c r="C76" s="9" t="s">
        <v>74</v>
      </c>
      <c r="D76" s="9" t="s">
        <v>23</v>
      </c>
      <c r="E76" s="6">
        <v>1.0</v>
      </c>
      <c r="F76" s="6">
        <v>1.0</v>
      </c>
      <c r="G76" s="6">
        <v>0.007334503329908627</v>
      </c>
      <c r="H76" s="6">
        <v>0.007334503329908627</v>
      </c>
      <c r="I76" s="6">
        <v>0.0</v>
      </c>
      <c r="J76" s="6">
        <v>0.007334503329908627</v>
      </c>
      <c r="K76" s="6">
        <v>0.007334503329908627</v>
      </c>
      <c r="L76" s="6">
        <v>0.007334503329908627</v>
      </c>
      <c r="M76" s="6">
        <v>0.0</v>
      </c>
      <c r="N76" s="6">
        <v>0.007334503329908627</v>
      </c>
      <c r="O76" s="6">
        <v>0.007334503329908627</v>
      </c>
      <c r="P76" s="6">
        <v>0.007334503329908627</v>
      </c>
      <c r="Q76" s="6">
        <v>0.007334503329908627</v>
      </c>
      <c r="R76" s="6">
        <v>0.0</v>
      </c>
      <c r="S76" s="10"/>
      <c r="T76" s="10"/>
      <c r="U76" s="10"/>
      <c r="V76" s="10"/>
      <c r="W76" s="10"/>
      <c r="X76" s="10"/>
      <c r="Y76" s="10"/>
      <c r="Z76" s="10"/>
    </row>
    <row r="77" ht="22.5" customHeight="1">
      <c r="A77" s="6">
        <v>40.0</v>
      </c>
      <c r="B77" s="7" t="s">
        <v>47</v>
      </c>
      <c r="C77" s="9" t="s">
        <v>48</v>
      </c>
      <c r="D77" s="9" t="s">
        <v>11</v>
      </c>
      <c r="E77" s="6">
        <v>5.0</v>
      </c>
      <c r="F77" s="6">
        <v>5.0</v>
      </c>
      <c r="G77" s="6">
        <v>1.154418894772536E-5</v>
      </c>
      <c r="H77" s="6">
        <v>0.00250610577860695</v>
      </c>
      <c r="I77" s="6">
        <v>0.002494561589659225</v>
      </c>
      <c r="J77" s="6">
        <v>0.00597455933361589</v>
      </c>
      <c r="K77" s="6">
        <v>0.001194911866723178</v>
      </c>
      <c r="L77" s="6">
        <v>0.001041205024743954</v>
      </c>
      <c r="M77" s="6">
        <v>8.434345263835433E-4</v>
      </c>
      <c r="N77" s="6">
        <v>1.154418894772536E-5</v>
      </c>
      <c r="O77" s="6">
        <v>1.154418894772536E-5</v>
      </c>
      <c r="P77" s="6">
        <v>7.532315761452973E-4</v>
      </c>
      <c r="Q77" s="6">
        <v>0.001662472765171963</v>
      </c>
      <c r="R77" s="6">
        <v>9.092411890266659E-4</v>
      </c>
      <c r="S77" s="10"/>
      <c r="T77" s="10"/>
      <c r="U77" s="10"/>
      <c r="V77" s="10"/>
      <c r="W77" s="10"/>
      <c r="X77" s="10"/>
      <c r="Y77" s="10"/>
      <c r="Z77" s="10"/>
    </row>
    <row r="78" ht="22.5" customHeight="1">
      <c r="A78" s="6">
        <v>74.0</v>
      </c>
      <c r="B78" s="7" t="s">
        <v>56</v>
      </c>
      <c r="C78" s="8" t="s">
        <v>57</v>
      </c>
      <c r="D78" s="9" t="s">
        <v>23</v>
      </c>
      <c r="E78" s="6">
        <v>1.0</v>
      </c>
      <c r="F78" s="6">
        <v>1.0</v>
      </c>
      <c r="G78" s="6">
        <v>0.005863182723431962</v>
      </c>
      <c r="H78" s="6">
        <v>0.005863182723431962</v>
      </c>
      <c r="I78" s="6">
        <v>0.0</v>
      </c>
      <c r="J78" s="6">
        <v>0.005863182723431962</v>
      </c>
      <c r="K78" s="6">
        <v>0.005863182723431962</v>
      </c>
      <c r="L78" s="6">
        <v>0.005863182723431962</v>
      </c>
      <c r="M78" s="6">
        <v>0.0</v>
      </c>
      <c r="N78" s="6">
        <v>0.005863182723431962</v>
      </c>
      <c r="O78" s="6">
        <v>0.005863182723431962</v>
      </c>
      <c r="P78" s="6">
        <v>0.005863182723431962</v>
      </c>
      <c r="Q78" s="6">
        <v>0.005863182723431962</v>
      </c>
      <c r="R78" s="6">
        <v>0.0</v>
      </c>
      <c r="S78" s="10"/>
      <c r="T78" s="10"/>
      <c r="U78" s="10"/>
      <c r="V78" s="10"/>
      <c r="W78" s="10"/>
      <c r="X78" s="10"/>
      <c r="Y78" s="10"/>
      <c r="Z78" s="10"/>
    </row>
    <row r="79" ht="22.5" customHeight="1">
      <c r="A79" s="6">
        <v>67.0</v>
      </c>
      <c r="B79" s="7" t="s">
        <v>71</v>
      </c>
      <c r="C79" s="9" t="s">
        <v>72</v>
      </c>
      <c r="D79" s="9" t="s">
        <v>20</v>
      </c>
      <c r="E79" s="6">
        <v>1.0</v>
      </c>
      <c r="F79" s="6">
        <v>1.0</v>
      </c>
      <c r="G79" s="6">
        <v>0.005488085166195833</v>
      </c>
      <c r="H79" s="6">
        <v>0.005488085166195833</v>
      </c>
      <c r="I79" s="6">
        <v>0.0</v>
      </c>
      <c r="J79" s="6">
        <v>0.005488085166195833</v>
      </c>
      <c r="K79" s="6">
        <v>0.005488085166195833</v>
      </c>
      <c r="L79" s="6">
        <v>0.005488085166195833</v>
      </c>
      <c r="M79" s="6">
        <v>0.0</v>
      </c>
      <c r="N79" s="6">
        <v>0.005488085166195833</v>
      </c>
      <c r="O79" s="6">
        <v>0.005488085166195833</v>
      </c>
      <c r="P79" s="6">
        <v>0.005488085166195833</v>
      </c>
      <c r="Q79" s="6">
        <v>0.005488085166195833</v>
      </c>
      <c r="R79" s="6">
        <v>0.0</v>
      </c>
      <c r="S79" s="10"/>
      <c r="T79" s="10"/>
      <c r="U79" s="10"/>
      <c r="V79" s="10"/>
      <c r="W79" s="10"/>
      <c r="X79" s="10"/>
      <c r="Y79" s="10"/>
      <c r="Z79" s="10"/>
    </row>
    <row r="80" ht="22.5" customHeight="1">
      <c r="A80" s="6">
        <v>53.0</v>
      </c>
      <c r="B80" s="7" t="s">
        <v>47</v>
      </c>
      <c r="C80" s="9" t="s">
        <v>48</v>
      </c>
      <c r="D80" s="9" t="s">
        <v>14</v>
      </c>
      <c r="E80" s="6">
        <v>1.0</v>
      </c>
      <c r="F80" s="6">
        <v>1.0</v>
      </c>
      <c r="G80" s="6">
        <v>0.003342814146976494</v>
      </c>
      <c r="H80" s="6">
        <v>0.003342814146976494</v>
      </c>
      <c r="I80" s="6">
        <v>0.0</v>
      </c>
      <c r="J80" s="6">
        <v>0.003342814146976494</v>
      </c>
      <c r="K80" s="6">
        <v>0.003342814146976494</v>
      </c>
      <c r="L80" s="6">
        <v>0.003342814146976494</v>
      </c>
      <c r="M80" s="6">
        <v>0.0</v>
      </c>
      <c r="N80" s="6">
        <v>0.003342814146976494</v>
      </c>
      <c r="O80" s="6">
        <v>0.003342814146976494</v>
      </c>
      <c r="P80" s="6">
        <v>0.003342814146976494</v>
      </c>
      <c r="Q80" s="6">
        <v>0.003342814146976494</v>
      </c>
      <c r="R80" s="6">
        <v>0.0</v>
      </c>
      <c r="S80" s="10"/>
      <c r="T80" s="10"/>
      <c r="U80" s="10"/>
      <c r="V80" s="10"/>
      <c r="W80" s="10"/>
      <c r="X80" s="10"/>
      <c r="Y80" s="10"/>
      <c r="Z80" s="10"/>
    </row>
    <row r="81" ht="22.5" customHeight="1">
      <c r="A81" s="6">
        <v>47.0</v>
      </c>
      <c r="B81" s="7" t="s">
        <v>47</v>
      </c>
      <c r="C81" s="9" t="s">
        <v>48</v>
      </c>
      <c r="D81" s="9" t="s">
        <v>40</v>
      </c>
      <c r="E81" s="6">
        <v>1.0</v>
      </c>
      <c r="F81" s="6">
        <v>1.0</v>
      </c>
      <c r="G81" s="6">
        <v>0.002581738659520386</v>
      </c>
      <c r="H81" s="6">
        <v>0.002581738659520386</v>
      </c>
      <c r="I81" s="6">
        <v>0.0</v>
      </c>
      <c r="J81" s="6">
        <v>0.002581738659520386</v>
      </c>
      <c r="K81" s="6">
        <v>0.002581738659520386</v>
      </c>
      <c r="L81" s="6">
        <v>0.002581738659520386</v>
      </c>
      <c r="M81" s="6">
        <v>0.0</v>
      </c>
      <c r="N81" s="6">
        <v>0.002581738659520386</v>
      </c>
      <c r="O81" s="6">
        <v>0.002581738659520386</v>
      </c>
      <c r="P81" s="6">
        <v>0.002581738659520386</v>
      </c>
      <c r="Q81" s="6">
        <v>0.002581738659520386</v>
      </c>
      <c r="R81" s="6">
        <v>0.0</v>
      </c>
      <c r="S81" s="10"/>
      <c r="T81" s="10"/>
      <c r="U81" s="10"/>
      <c r="V81" s="10"/>
      <c r="W81" s="10"/>
      <c r="X81" s="10"/>
      <c r="Y81" s="10"/>
      <c r="Z81" s="10"/>
    </row>
    <row r="82" ht="22.5" customHeight="1">
      <c r="A82" s="6">
        <v>28.0</v>
      </c>
      <c r="B82" s="7" t="s">
        <v>47</v>
      </c>
      <c r="C82" s="9" t="s">
        <v>48</v>
      </c>
      <c r="D82" s="9" t="s">
        <v>31</v>
      </c>
      <c r="E82" s="6">
        <v>1.0</v>
      </c>
      <c r="F82" s="6">
        <v>1.0</v>
      </c>
      <c r="G82" s="6">
        <v>0.001986008399427226</v>
      </c>
      <c r="H82" s="6">
        <v>0.001986008399427226</v>
      </c>
      <c r="I82" s="6">
        <v>0.0</v>
      </c>
      <c r="J82" s="6">
        <v>0.001986008399427226</v>
      </c>
      <c r="K82" s="6">
        <v>0.001986008399427226</v>
      </c>
      <c r="L82" s="6">
        <v>0.001986008399427226</v>
      </c>
      <c r="M82" s="6">
        <v>0.0</v>
      </c>
      <c r="N82" s="6">
        <v>0.001986008399427226</v>
      </c>
      <c r="O82" s="6">
        <v>0.001986008399427226</v>
      </c>
      <c r="P82" s="6">
        <v>0.001986008399427226</v>
      </c>
      <c r="Q82" s="6">
        <v>0.001986008399427226</v>
      </c>
      <c r="R82" s="6">
        <v>0.0</v>
      </c>
      <c r="S82" s="10"/>
      <c r="T82" s="10"/>
      <c r="U82" s="10"/>
      <c r="V82" s="10"/>
      <c r="W82" s="10"/>
      <c r="X82" s="10"/>
      <c r="Y82" s="10"/>
      <c r="Z82" s="10"/>
    </row>
    <row r="83" ht="22.5" customHeight="1">
      <c r="A83" s="6">
        <v>63.0</v>
      </c>
      <c r="B83" s="7" t="s">
        <v>73</v>
      </c>
      <c r="C83" s="9" t="s">
        <v>74</v>
      </c>
      <c r="D83" s="9" t="s">
        <v>45</v>
      </c>
      <c r="E83" s="6">
        <v>1.0</v>
      </c>
      <c r="F83" s="6">
        <v>1.0</v>
      </c>
      <c r="G83" s="6">
        <v>0.001216055270461015</v>
      </c>
      <c r="H83" s="6">
        <v>0.001216055270461015</v>
      </c>
      <c r="I83" s="6">
        <v>0.0</v>
      </c>
      <c r="J83" s="6">
        <v>0.001216055270461015</v>
      </c>
      <c r="K83" s="6">
        <v>0.001216055270461015</v>
      </c>
      <c r="L83" s="6">
        <v>0.001216055270461015</v>
      </c>
      <c r="M83" s="6">
        <v>0.0</v>
      </c>
      <c r="N83" s="6">
        <v>0.001216055270461015</v>
      </c>
      <c r="O83" s="6">
        <v>0.001216055270461015</v>
      </c>
      <c r="P83" s="6">
        <v>0.001216055270461015</v>
      </c>
      <c r="Q83" s="6">
        <v>0.001216055270461015</v>
      </c>
      <c r="R83" s="6">
        <v>0.0</v>
      </c>
      <c r="S83" s="10"/>
      <c r="T83" s="10"/>
      <c r="U83" s="10"/>
      <c r="V83" s="10"/>
      <c r="W83" s="10"/>
      <c r="X83" s="10"/>
      <c r="Y83" s="10"/>
      <c r="Z83" s="10"/>
    </row>
    <row r="84" ht="22.5" customHeight="1">
      <c r="A84" s="6">
        <v>56.0</v>
      </c>
      <c r="B84" s="7" t="s">
        <v>66</v>
      </c>
      <c r="C84" s="9" t="s">
        <v>67</v>
      </c>
      <c r="D84" s="9" t="s">
        <v>22</v>
      </c>
      <c r="E84" s="6">
        <v>1.0</v>
      </c>
      <c r="F84" s="6">
        <v>1.0</v>
      </c>
      <c r="G84" s="6">
        <v>3.192810097053491E-4</v>
      </c>
      <c r="H84" s="6">
        <v>3.192810097053491E-4</v>
      </c>
      <c r="I84" s="6">
        <v>0.0</v>
      </c>
      <c r="J84" s="6">
        <v>3.192810097053491E-4</v>
      </c>
      <c r="K84" s="6">
        <v>3.192810097053491E-4</v>
      </c>
      <c r="L84" s="6">
        <v>3.192810097053491E-4</v>
      </c>
      <c r="M84" s="6">
        <v>0.0</v>
      </c>
      <c r="N84" s="6">
        <v>3.192810097053491E-4</v>
      </c>
      <c r="O84" s="6">
        <v>3.192810097053491E-4</v>
      </c>
      <c r="P84" s="6">
        <v>3.192810097053491E-4</v>
      </c>
      <c r="Q84" s="6">
        <v>3.192810097053491E-4</v>
      </c>
      <c r="R84" s="6">
        <v>0.0</v>
      </c>
      <c r="S84" s="10"/>
      <c r="T84" s="10"/>
      <c r="U84" s="10"/>
      <c r="V84" s="10"/>
      <c r="W84" s="10"/>
      <c r="X84" s="10"/>
      <c r="Y84" s="10"/>
      <c r="Z84" s="10"/>
    </row>
    <row r="85" ht="22.5" customHeight="1">
      <c r="A85" s="6">
        <v>9.0</v>
      </c>
      <c r="B85" s="7" t="s">
        <v>47</v>
      </c>
      <c r="C85" s="9" t="s">
        <v>48</v>
      </c>
      <c r="D85" s="9" t="s">
        <v>12</v>
      </c>
      <c r="E85" s="6">
        <v>1.0</v>
      </c>
      <c r="F85" s="6">
        <v>1.0</v>
      </c>
      <c r="G85" s="6">
        <v>3.184499353640105E-4</v>
      </c>
      <c r="H85" s="6">
        <v>3.184499353640105E-4</v>
      </c>
      <c r="I85" s="6">
        <v>0.0</v>
      </c>
      <c r="J85" s="6">
        <v>3.184499353640105E-4</v>
      </c>
      <c r="K85" s="6">
        <v>3.184499353640105E-4</v>
      </c>
      <c r="L85" s="6">
        <v>3.184499353640105E-4</v>
      </c>
      <c r="M85" s="6">
        <v>0.0</v>
      </c>
      <c r="N85" s="6">
        <v>3.184499353640105E-4</v>
      </c>
      <c r="O85" s="6">
        <v>3.184499353640105E-4</v>
      </c>
      <c r="P85" s="6">
        <v>3.184499353640105E-4</v>
      </c>
      <c r="Q85" s="6">
        <v>3.184499353640105E-4</v>
      </c>
      <c r="R85" s="6">
        <v>0.0</v>
      </c>
      <c r="S85" s="10"/>
      <c r="T85" s="10"/>
      <c r="U85" s="10"/>
      <c r="V85" s="10"/>
      <c r="W85" s="10"/>
      <c r="X85" s="10"/>
      <c r="Y85" s="10"/>
      <c r="Z85" s="10"/>
    </row>
    <row r="86" ht="22.5" customHeight="1">
      <c r="A86" s="6">
        <v>59.0</v>
      </c>
      <c r="B86" s="7" t="s">
        <v>66</v>
      </c>
      <c r="C86" s="9" t="s">
        <v>67</v>
      </c>
      <c r="D86" s="9" t="s">
        <v>11</v>
      </c>
      <c r="E86" s="6">
        <v>2.0</v>
      </c>
      <c r="F86" s="6">
        <v>2.0</v>
      </c>
      <c r="G86" s="6">
        <v>4.009985426304723E-5</v>
      </c>
      <c r="H86" s="6">
        <v>4.910202535179296E-5</v>
      </c>
      <c r="I86" s="6">
        <v>9.00217108874573E-6</v>
      </c>
      <c r="J86" s="6">
        <v>8.92018796148402E-5</v>
      </c>
      <c r="K86" s="6">
        <v>4.46009398074201E-5</v>
      </c>
      <c r="L86" s="6">
        <v>4.46009398074201E-5</v>
      </c>
      <c r="M86" s="6">
        <v>4.501085544372865E-6</v>
      </c>
      <c r="N86" s="6">
        <v>4.009985426304723E-5</v>
      </c>
      <c r="O86" s="6">
        <v>4.009985426304723E-5</v>
      </c>
      <c r="P86" s="6">
        <v>4.009985426304723E-5</v>
      </c>
      <c r="Q86" s="6">
        <v>4.910202535179296E-5</v>
      </c>
      <c r="R86" s="6">
        <v>9.00217108874573E-6</v>
      </c>
      <c r="S86" s="10"/>
      <c r="T86" s="10"/>
      <c r="U86" s="10"/>
      <c r="V86" s="10"/>
      <c r="W86" s="10"/>
      <c r="X86" s="10"/>
      <c r="Y86" s="10"/>
      <c r="Z86" s="10"/>
    </row>
  </sheetData>
  <dataValidations>
    <dataValidation type="custom" allowBlank="1" showDropDown="1" sqref="A2:A86 E2:R86">
      <formula1>AND(ISNUMBER(A2),(NOT(OR(NOT(ISERROR(DATEVALUE(A2))), AND(ISNUMBER(A2), LEFT(CELL("format", A2))="D")))))</formula1>
    </dataValidation>
    <dataValidation type="list" allowBlank="1" showDropDown="1" showErrorMessage="1" sqref="B2:B86">
      <formula1>"JOTH,DEVIND,DEVRE,DEVCO,CIPSS,CIP,CIPF"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2" width="27.25"/>
    <col customWidth="1" min="3" max="3" width="17.2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5"/>
  </cols>
  <sheetData>
    <row r="1">
      <c r="A1" s="1" t="s">
        <v>0</v>
      </c>
    </row>
  </sheetData>
  <drawing r:id="rId1"/>
</worksheet>
</file>